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32065" windowHeight="14605"/>
  </bookViews>
  <sheets>
    <sheet name="车辆检测汇总" sheetId="1" r:id="rId1"/>
    <sheet name="填写说明" sheetId="2" r:id="rId2"/>
  </sheets>
  <definedNames>
    <definedName name="_xlnm._FilterDatabase" localSheetId="0" hidden="1">车辆检测汇总!$A$1:$I$202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<sst xmlns="http://schemas.openxmlformats.org/spreadsheetml/2006/main" count="838" uniqueCount="380">
  <si>
    <t>用例ID</t>
  </si>
  <si>
    <t>真实人数（人工标签/补填）</t>
  </si>
  <si>
    <t>算法整车人数</t>
  </si>
  <si>
    <t>人数误差（算法-真实）</t>
  </si>
  <si>
    <t>整车人数准确</t>
  </si>
  <si>
    <t>车窗内人数（算法）</t>
  </si>
  <si>
    <t>帧数</t>
  </si>
  <si>
    <t>样本类型</t>
  </si>
  <si>
    <t>问题类别</t>
  </si>
  <si>
    <t>备注</t>
  </si>
  <si>
    <t>B071_20260917090257003</t>
  </si>
  <si>
    <t>W1=1人；W2=1人</t>
  </si>
  <si>
    <t>未逐帧复核（基线集）</t>
  </si>
  <si>
    <t>baseline_unreviewed/wj_yazheng/short</t>
  </si>
  <si>
    <t>B093_20260917092525726</t>
  </si>
  <si>
    <t>W1=1人；W2=1人；W3=0人</t>
  </si>
  <si>
    <t>B133_20260917094443806</t>
  </si>
  <si>
    <t>W1=2人；W2=1人</t>
  </si>
  <si>
    <t>B149_20260917095251343</t>
  </si>
  <si>
    <t>B163_20260917100058478</t>
  </si>
  <si>
    <t>W1=2人；W2=2人；W3=1人；W4=0人</t>
  </si>
  <si>
    <t>C01_20260128001319724</t>
  </si>
  <si>
    <t>W1=2人；W2=4人</t>
  </si>
  <si>
    <t>人工确认</t>
  </si>
  <si>
    <t>FP+FN; known counts</t>
  </si>
  <si>
    <t>C02_20260129161125481</t>
  </si>
  <si>
    <t>ID merge/split; known count</t>
  </si>
  <si>
    <t>C03_20260129161312072</t>
  </si>
  <si>
    <t>人工确认问题</t>
  </si>
  <si>
    <t>False-negative / lost track</t>
  </si>
  <si>
    <t>C04_20260129161532225xie</t>
  </si>
  <si>
    <t>W1=2人；W2=3人</t>
  </si>
  <si>
    <t>Multi-window count</t>
  </si>
  <si>
    <t>C05_A车-20260728101817592</t>
  </si>
  <si>
    <t>ID over-count; known counts</t>
  </si>
  <si>
    <t>C06_B车-20260728103322684</t>
  </si>
  <si>
    <t>W1=2人；W2=4人；W3=0人</t>
  </si>
  <si>
    <t>Window continuity/order</t>
  </si>
  <si>
    <t>C07_20260807125846153</t>
  </si>
  <si>
    <t>W1=2人；W2=3人；W3=0人</t>
  </si>
  <si>
    <t>FP + identity inflation</t>
  </si>
  <si>
    <t>C08_20260808140911994</t>
  </si>
  <si>
    <t>W1=3人；W2=3人；W3=2人</t>
  </si>
  <si>
    <t>ID count mismatch</t>
  </si>
  <si>
    <t>车窗人数不正确</t>
  </si>
  <si>
    <t>C09_20260814140939504</t>
  </si>
  <si>
    <t>W1=3人；W2=2人</t>
  </si>
  <si>
    <t>ID switch / new person</t>
  </si>
  <si>
    <t>C10_20260817093818643</t>
  </si>
  <si>
    <t>W1=2人；W2=2人</t>
  </si>
  <si>
    <t>Different people, same tracker ID</t>
  </si>
  <si>
    <t>C11_20260813231128869</t>
  </si>
  <si>
    <t>Same person, appearance/box change</t>
  </si>
  <si>
    <t>C12_20260814070847776</t>
  </si>
  <si>
    <t>W1=2人；W2=2人；W3=0人</t>
  </si>
  <si>
    <t>Background vehicle / window order</t>
  </si>
  <si>
    <t>C13_20260814085527953</t>
  </si>
  <si>
    <t>W1=0人；W2=1人；W3=0人</t>
  </si>
  <si>
    <t>Opposing/background vehicle</t>
  </si>
  <si>
    <t>C14_20260817072930896</t>
  </si>
  <si>
    <t>Main-car association</t>
  </si>
  <si>
    <t>C15_20260814083459001</t>
  </si>
  <si>
    <t>False negative from filter</t>
  </si>
  <si>
    <t>C16_20260814082345773</t>
  </si>
  <si>
    <t>W1=2人；W2=0人；W3=0人</t>
  </si>
  <si>
    <t>Hand false positive</t>
  </si>
  <si>
    <t>C17_20260808165409779</t>
  </si>
  <si>
    <t>W1=1人；W2=2人；W3=0人</t>
  </si>
  <si>
    <t>False positives</t>
  </si>
  <si>
    <t>C18_20260814085302319</t>
  </si>
  <si>
    <t>W1=1人；W2=0人；W3=0人</t>
  </si>
  <si>
    <t>High-confidence detection not counted</t>
  </si>
  <si>
    <t>C19_20261025215958332</t>
  </si>
  <si>
    <t>W1=1人；W2=2人</t>
  </si>
  <si>
    <t>Same person across movement</t>
  </si>
  <si>
    <t>C20_20261026064140564</t>
  </si>
  <si>
    <t>C21_20261026090327184</t>
  </si>
  <si>
    <t>W1=0人；W2=0人；W3=1人</t>
  </si>
  <si>
    <t>Low-count multi-window</t>
  </si>
  <si>
    <t>C22_20261022_103400_371_real2</t>
  </si>
  <si>
    <t>Different people, same ID</t>
  </si>
  <si>
    <t>C23_20261022_101654_723_real2</t>
  </si>
  <si>
    <t>One-frame person accumulation</t>
  </si>
  <si>
    <t>C24_20261022_104357_632_real5</t>
  </si>
  <si>
    <t>W1=0人；W2=2人；W3=1人</t>
  </si>
  <si>
    <t>Window order / count</t>
  </si>
  <si>
    <t>C25_20261022_175050_1792662650456425_real2</t>
  </si>
  <si>
    <t>W1=2人；W2=0人</t>
  </si>
  <si>
    <t>Same person across abrupt ID change</t>
  </si>
  <si>
    <t>C26_20261022_174006_1792662006855627_real2</t>
  </si>
  <si>
    <t>W1=3人</t>
  </si>
  <si>
    <t>False-positive persistence</t>
  </si>
  <si>
    <t>C55_20260807114740067</t>
  </si>
  <si>
    <t>Sparse 8-frame sequence / count</t>
  </si>
  <si>
    <t>C56_20260817065146194</t>
  </si>
  <si>
    <t>Window order reversal</t>
  </si>
  <si>
    <t>C57_20260820080942884</t>
  </si>
  <si>
    <t>Three-window order and count</t>
  </si>
  <si>
    <t>C58_20260814093429635</t>
  </si>
  <si>
    <t>Under-count / reverse movement</t>
  </si>
  <si>
    <t>C59_20260807175208524</t>
  </si>
  <si>
    <t>W1=1人；W2=3人；W3=0人</t>
  </si>
  <si>
    <t>False positive affecting count</t>
  </si>
  <si>
    <t>C60_20260819212019073</t>
  </si>
  <si>
    <t>ID fragmentation / over-count</t>
  </si>
  <si>
    <t>C61_20260819225311790</t>
  </si>
  <si>
    <t>Movement-induced ID fragmentation</t>
  </si>
  <si>
    <t>C63_20260808142905362</t>
  </si>
  <si>
    <t>Same person across tracker IDs</t>
  </si>
  <si>
    <t>C64_20260814085549795</t>
  </si>
  <si>
    <t>W1=1人；W2=0人</t>
  </si>
  <si>
    <t>False negative / missed people</t>
  </si>
  <si>
    <t>C65_20260814093827839</t>
  </si>
  <si>
    <t>C66_20260813170919694</t>
  </si>
  <si>
    <t>W1=2人；W2=3人；W3=1人</t>
  </si>
  <si>
    <t>False positive</t>
  </si>
  <si>
    <t>C70_20260917115658121</t>
  </si>
  <si>
    <t>W1=2人；W2=1人；W3=0人</t>
  </si>
  <si>
    <t>False positives; reviewed case</t>
  </si>
  <si>
    <t>C71_20260917154030521</t>
  </si>
  <si>
    <t>C72_20260917100300104</t>
  </si>
  <si>
    <t>False positive and true passenger</t>
  </si>
  <si>
    <t>C73_20260917124636908</t>
  </si>
  <si>
    <t>W1=2人；W2=2人；W3=1人</t>
  </si>
  <si>
    <t>Single-frame true person</t>
  </si>
  <si>
    <t>C74_20261021_143916_1792564756202155</t>
  </si>
  <si>
    <t>Window order</t>
  </si>
  <si>
    <t>C75_20261021_144717_1792565237320409</t>
  </si>
  <si>
    <t>Window order / zero-count regression</t>
  </si>
  <si>
    <t>C76_20261020000122488</t>
  </si>
  <si>
    <t>False positive / hand-like pattern</t>
  </si>
  <si>
    <t>C77_20261020060433713</t>
  </si>
  <si>
    <t>C78_20261020064752659</t>
  </si>
  <si>
    <t>False positives across windows</t>
  </si>
  <si>
    <t>C79_20261020081916468</t>
  </si>
  <si>
    <t>W1=4人；W2=3人</t>
  </si>
  <si>
    <t>C80_20261020130513825</t>
  </si>
  <si>
    <t>False-positive generalization</t>
  </si>
  <si>
    <t>C81_20261020110010350</t>
  </si>
  <si>
    <t>C82_20261020011046565</t>
  </si>
  <si>
    <t>False positive vs true person</t>
  </si>
  <si>
    <t>C83_20261020091806724</t>
  </si>
  <si>
    <t>False positives with true people</t>
  </si>
  <si>
    <t>C86_20261011192454786</t>
  </si>
  <si>
    <t>Sparse true detection</t>
  </si>
  <si>
    <t>C87_苏FD61201_20260905</t>
  </si>
  <si>
    <t>Missed single-person window</t>
  </si>
  <si>
    <t>F114_20260717131014283</t>
  </si>
  <si>
    <t>W1=1人</t>
  </si>
  <si>
    <t>未逐帧复核（FTP困难样本）</t>
  </si>
  <si>
    <t>ftp_test_hard_case/unreviewed</t>
  </si>
  <si>
    <t>F115_20260717131359018</t>
  </si>
  <si>
    <t>F116_20260717132406721</t>
  </si>
  <si>
    <t>F117_20260717132649032</t>
  </si>
  <si>
    <t>W1=1人；W2=0人；W3=0人；W4=0人</t>
  </si>
  <si>
    <t>F118_20260717132829468</t>
  </si>
  <si>
    <t>F119_20260717134045909</t>
  </si>
  <si>
    <t>F120_20260717134125128</t>
  </si>
  <si>
    <t>F121_20260717134205118</t>
  </si>
  <si>
    <t>F122_39</t>
  </si>
  <si>
    <t>W1=2人；W2=3人；W3=3人</t>
  </si>
  <si>
    <t>F123_58</t>
  </si>
  <si>
    <t>R001_20260819212118215</t>
  </si>
  <si>
    <t>未逐帧复核（主test_data分层随机抽样）</t>
  </si>
  <si>
    <t>main_test_data_random/0820_xfh_check/ly_over3_p</t>
  </si>
  <si>
    <t>R002_20260819193238975</t>
  </si>
  <si>
    <t>main_test_data_random/0820_xfh_check/nj_over3_p</t>
  </si>
  <si>
    <t>R003_苏FL536B_20260905</t>
  </si>
  <si>
    <t>main_test_data_random/0905/gsjc</t>
  </si>
  <si>
    <t>R004_20260909113935580</t>
  </si>
  <si>
    <t>main_test_data_random/0907/ly</t>
  </si>
  <si>
    <t>R005_20260910203222339</t>
  </si>
  <si>
    <t>W1=3人；W2=1人；W3=0人</t>
  </si>
  <si>
    <t>main_test_data_random/0910/yx</t>
  </si>
  <si>
    <t>R006_20261009095516789</t>
  </si>
  <si>
    <t>main_test_data_random/1009/ly</t>
  </si>
  <si>
    <t>R007_20261010125822225</t>
  </si>
  <si>
    <t>main_test_data_random/1010/tc</t>
  </si>
  <si>
    <t>R008_20261012073611476</t>
  </si>
  <si>
    <t>main_test_data_random/1012/ly</t>
  </si>
  <si>
    <t>R009_20261012080511671</t>
  </si>
  <si>
    <t>W1=4人；W2=2人；W3=0人</t>
  </si>
  <si>
    <t>main_test_data_random/1012/yj</t>
  </si>
  <si>
    <t>R010_20261014094326659</t>
  </si>
  <si>
    <t>main_test_data_random/1014/ly</t>
  </si>
  <si>
    <t>R011_20261014094401524</t>
  </si>
  <si>
    <t>W1=3人；W2=2人；W3=0人</t>
  </si>
  <si>
    <t>main_test_data_random/1014/nj</t>
  </si>
  <si>
    <t>R012_20261014085029081</t>
  </si>
  <si>
    <t>main_test_data_random/1014/zjg</t>
  </si>
  <si>
    <t>R013_20261019081808671</t>
  </si>
  <si>
    <t>main_test_data_random/1019/ly</t>
  </si>
  <si>
    <t>R014_20261019233551799</t>
  </si>
  <si>
    <t>main_test_data_random/1019/yx</t>
  </si>
  <si>
    <t>R015_20261023134431968</t>
  </si>
  <si>
    <t>main_test_data_random/1023/yx</t>
  </si>
  <si>
    <t>R016_20260820034323950</t>
  </si>
  <si>
    <t>main_test_data_random/1_yanzhen</t>
  </si>
  <si>
    <t>R017_20260129161928399xie</t>
  </si>
  <si>
    <t>W1=3人；W2=4人</t>
  </si>
  <si>
    <t>main_test_data_random/dx_test/1020</t>
  </si>
  <si>
    <t>R018_20260917101506920</t>
  </si>
  <si>
    <t>W1=2人；W2=1人；W3=1人</t>
  </si>
  <si>
    <t>main_test_data_random/wj_yazheng</t>
  </si>
  <si>
    <t>R019_20261015_145718_A718EW</t>
  </si>
  <si>
    <t>W1=3人；W2=4人；W3=3人</t>
  </si>
  <si>
    <t>main_test_data_random/xd_cy_cs/1019</t>
  </si>
  <si>
    <t>R020_20261021_143557_1792564557359502</t>
  </si>
  <si>
    <t>main_test_data_random/xd_cy_cs/1021</t>
  </si>
  <si>
    <t>R021_20261022_102127_016_real2</t>
  </si>
  <si>
    <t>main_test_data_random/xd_cy_cs/1022</t>
  </si>
  <si>
    <t>R022_20261022_175048_1792662648903207_real1</t>
  </si>
  <si>
    <t>W1=2人；W2=0人；W3=2人；W4=0人；W5=0人</t>
  </si>
  <si>
    <t>main_test_data_random/xd_cy_cs/1023</t>
  </si>
  <si>
    <t>R023_苏DDL5821_20260821</t>
  </si>
  <si>
    <t>R024_20260819195403601</t>
  </si>
  <si>
    <t>W1=1人；W2=1人；W3=2人</t>
  </si>
  <si>
    <t>R025_甘CU0898_20260905</t>
  </si>
  <si>
    <t>R026_20260907204524876</t>
  </si>
  <si>
    <t>R027_20260910163011683</t>
  </si>
  <si>
    <t>R028_20261009111734138</t>
  </si>
  <si>
    <t>R029_20261010150922599</t>
  </si>
  <si>
    <t>W1=3人；W2=3人</t>
  </si>
  <si>
    <t>R030_20261014122552332</t>
  </si>
  <si>
    <t>R031_20261015083105360</t>
  </si>
  <si>
    <t>R032_20261019200326890</t>
  </si>
  <si>
    <t>W1=2人；W2=3人；W3=2人</t>
  </si>
  <si>
    <t>R033_20261020135206059</t>
  </si>
  <si>
    <t>R034_20260820081905035</t>
  </si>
  <si>
    <t>R035_20260129161658128xie</t>
  </si>
  <si>
    <t>R036_20261019124908512</t>
  </si>
  <si>
    <t>R037_20261015_143854_AF88878</t>
  </si>
  <si>
    <t>R038_20261021_145532_1792565732835303</t>
  </si>
  <si>
    <t>R039_20261022_100927_057_real2</t>
  </si>
  <si>
    <t>R040_20261022_174514_1792662314418107_real2</t>
  </si>
  <si>
    <t>W1=2人；W2=0人；W3=0人；W4=0人</t>
  </si>
  <si>
    <t>R041_20260819195106148</t>
  </si>
  <si>
    <t>W1=2人；W2=2人；W3=0人；W4=0人</t>
  </si>
  <si>
    <t>R042_20260819220357572</t>
  </si>
  <si>
    <t>R043_苏FDF8128_20260905</t>
  </si>
  <si>
    <t>R044_20260907203837846</t>
  </si>
  <si>
    <t>R045_20260910162331477</t>
  </si>
  <si>
    <t>R046_20261010094231987</t>
  </si>
  <si>
    <t>R047_20261014230346166</t>
  </si>
  <si>
    <t>R048_20261020064843807</t>
  </si>
  <si>
    <t>R049_20261020121504076</t>
  </si>
  <si>
    <t>R050_20260807125614427</t>
  </si>
  <si>
    <t>R051_20260129162132853xie</t>
  </si>
  <si>
    <t>R052_20260917114857939</t>
  </si>
  <si>
    <t>R053_20261015_150741_AF88878</t>
  </si>
  <si>
    <t>R054_20261021_143730_1792564650121320</t>
  </si>
  <si>
    <t>W1=0人</t>
  </si>
  <si>
    <t>R055_20261022_103352_698_real1</t>
  </si>
  <si>
    <t>R056_20261022_175056_1792662656695071_real1</t>
  </si>
  <si>
    <t>R057_20260819193821368</t>
  </si>
  <si>
    <t>R058_20260819191632620</t>
  </si>
  <si>
    <t>R059_甘CT2118_20260905</t>
  </si>
  <si>
    <t>R060_20260907204116027</t>
  </si>
  <si>
    <t>R061_20260910175700437</t>
  </si>
  <si>
    <t>R062_20261010091422396</t>
  </si>
  <si>
    <t>X002_g002</t>
  </si>
  <si>
    <t>人工标注（labels_image.csv）</t>
  </si>
  <si>
    <t>xfh_overman_test_images/labeled_hard_case</t>
  </si>
  <si>
    <t>X004_g004</t>
  </si>
  <si>
    <t>X005_g005</t>
  </si>
  <si>
    <t>X006_g006</t>
  </si>
  <si>
    <t>X011_g011</t>
  </si>
  <si>
    <t>W1=2人；W2=4人；W3=2人</t>
  </si>
  <si>
    <t>X012_g012</t>
  </si>
  <si>
    <t>W1=2人；W2=6人；W3=3人</t>
  </si>
  <si>
    <t>X013_g013</t>
  </si>
  <si>
    <t>X016_g016</t>
  </si>
  <si>
    <t>X017_g017</t>
  </si>
  <si>
    <t>X019_g019</t>
  </si>
  <si>
    <t>X020_g020</t>
  </si>
  <si>
    <t>X023_g023</t>
  </si>
  <si>
    <t>X025_g025</t>
  </si>
  <si>
    <t>W1=3人；W2=3人；W3=3人</t>
  </si>
  <si>
    <t>X026_g026</t>
  </si>
  <si>
    <t>W1=0人；W2=2人；W3=0人</t>
  </si>
  <si>
    <t>X027_g027</t>
  </si>
  <si>
    <t>X028_g028</t>
  </si>
  <si>
    <t>X030_g030</t>
  </si>
  <si>
    <t>X032_g032</t>
  </si>
  <si>
    <t>X033_g033</t>
  </si>
  <si>
    <t>X034_g034</t>
  </si>
  <si>
    <t>X035_g035</t>
  </si>
  <si>
    <t>X037_g037</t>
  </si>
  <si>
    <t>X039_g039</t>
  </si>
  <si>
    <t>X040_g040</t>
  </si>
  <si>
    <t>X041_g041</t>
  </si>
  <si>
    <t>W1=2人；W2=4人；W3=3人</t>
  </si>
  <si>
    <t>X042_g042</t>
  </si>
  <si>
    <t>X046_g046</t>
  </si>
  <si>
    <t>X047_g047</t>
  </si>
  <si>
    <t>X048_g048</t>
  </si>
  <si>
    <t>W1=3人；W2=3人；W3=4人</t>
  </si>
  <si>
    <t>X049_g049</t>
  </si>
  <si>
    <t>X050_g050</t>
  </si>
  <si>
    <t>W1=2人；W2=2人；W3=3人</t>
  </si>
  <si>
    <t>X053_g053</t>
  </si>
  <si>
    <t>X054_g054</t>
  </si>
  <si>
    <t>W1=2人；W2=3人；W3=2人；W4=0人</t>
  </si>
  <si>
    <t>X056_g056</t>
  </si>
  <si>
    <t>W1=2人；W2=2人；W3=4人</t>
  </si>
  <si>
    <t>X057_g057</t>
  </si>
  <si>
    <t>W1=2人；W2=2人；W3=2人</t>
  </si>
  <si>
    <t>X063_g063</t>
  </si>
  <si>
    <t>W1=2人；W2=3人；W3=4人；W4=1人</t>
  </si>
  <si>
    <t>X064_g064</t>
  </si>
  <si>
    <t>W1=2人；W2=3人；W3=4人；W4=0人</t>
  </si>
  <si>
    <t>X068_g068</t>
  </si>
  <si>
    <t>W1=2人；W2=2人；W3=3人；W4=2人</t>
  </si>
  <si>
    <t>X070_g070</t>
  </si>
  <si>
    <t>W1=4人；W2=2人；W3=2人</t>
  </si>
  <si>
    <t>X071_g071</t>
  </si>
  <si>
    <t>W1=3人；W2=2人；W3=1人</t>
  </si>
  <si>
    <t>X072_g072</t>
  </si>
  <si>
    <t>X073_g073</t>
  </si>
  <si>
    <t>X075_g075</t>
  </si>
  <si>
    <t>X076_g076</t>
  </si>
  <si>
    <t>X077_g077</t>
  </si>
  <si>
    <t>X081_g081</t>
  </si>
  <si>
    <t>W1=3人；W2=1人；W3=3人</t>
  </si>
  <si>
    <t>X082_g082</t>
  </si>
  <si>
    <t>X083_g083</t>
  </si>
  <si>
    <t>W1=1人；W2=4人</t>
  </si>
  <si>
    <t>X085_g085</t>
  </si>
  <si>
    <t>X088_g088</t>
  </si>
  <si>
    <t>X091_g091</t>
  </si>
  <si>
    <t>X094_g094</t>
  </si>
  <si>
    <t>W1=2人；W2=4人；W3=4人</t>
  </si>
  <si>
    <t>X096_g096</t>
  </si>
  <si>
    <t>X099_g099</t>
  </si>
  <si>
    <t>W1=3人；W2=4人；W3=2人</t>
  </si>
  <si>
    <t>X100_g100</t>
  </si>
  <si>
    <t>X104_g104</t>
  </si>
  <si>
    <t>W1=2人；W2=5人</t>
  </si>
  <si>
    <t>X106_g106</t>
  </si>
  <si>
    <t>X110_g110</t>
  </si>
  <si>
    <t>X112_g112</t>
  </si>
  <si>
    <t>X114_g114</t>
  </si>
  <si>
    <t>X119_g119</t>
  </si>
  <si>
    <t>X120_g120</t>
  </si>
  <si>
    <t>W1=2人；W2=3人；W3=0人；W4=0人；W5=0人；W6=0人</t>
  </si>
  <si>
    <t>X122_g122</t>
  </si>
  <si>
    <t>X123_g123</t>
  </si>
  <si>
    <t>X124_g124</t>
  </si>
  <si>
    <t>W1=3人；W2=3人；W3=1人</t>
  </si>
  <si>
    <t>X125_g125</t>
  </si>
  <si>
    <t>X126_g126</t>
  </si>
  <si>
    <t>X129_g129</t>
  </si>
  <si>
    <t>X130_g130</t>
  </si>
  <si>
    <t>X131_g131</t>
  </si>
  <si>
    <t>整车人数精确匹配准确率</t>
  </si>
  <si>
    <t>已填写真值数</t>
  </si>
  <si>
    <t>算法验证集人工复核表</t>
  </si>
  <si>
    <t>推理脚本</t>
  </si>
  <si>
    <t>sideview_head_counter_adaptive_pt.py</t>
  </si>
  <si>
    <t>YOLO权重</t>
  </si>
  <si>
    <t>runs/260907_best3_fp_fn_640_20261027_r3_weighted/weights/best.pt</t>
  </si>
  <si>
    <t>运行参数</t>
  </si>
  <si>
    <t>head-conf/car-conf/window-conf 使用脚本默认值；sequence-mode=auto；未保存标注图</t>
  </si>
  <si>
    <t>运行结果</t>
  </si>
  <si>
    <t>/mnt/disk1/wsk/rk3588/ultralytics_yolov8/ultralytics/data/test_data/algorithm_regression_suite_20261027/run_adaptive_r3_20261027_final200</t>
  </si>
  <si>
    <t>验证集</t>
  </si>
  <si>
    <t>/mnt/disk1/wsk/rk3588/ultralytics_yolov8/ultralytics/data/test_data/algorithm_regression_suite_20261027</t>
  </si>
  <si>
    <t>序列数</t>
  </si>
  <si>
    <t>推理成功/失败</t>
  </si>
  <si>
    <t>200/0</t>
  </si>
  <si>
    <t>人工填写</t>
  </si>
  <si>
    <t>‘车辆检测汇总’B列已按labels_image.csv预填有真值的样本；其余真实人数单元格留空，需人工补录。</t>
  </si>
  <si>
    <t>准确率</t>
  </si>
  <si>
    <t>底部‘整车人数精确匹配准确率’按已填写真实人数的车辆计算，算法整车人数完全相等才算正确；留空真值不参与分母。Excel 打开后会自动重算。</t>
  </si>
  <si>
    <t>各车窗</t>
  </si>
  <si>
    <t>所有车窗人数合并放在‘车窗内人数（算法）’一列，格式为 W1=2人；W2=1人；…；准确率只对整车人数计算。</t>
  </si>
  <si>
    <t>样本说明</t>
  </si>
  <si>
    <t>共200辆：历史问题回归53辆、XFH标签真值70辆、FTP困难样本10辆、wj_yazheng专项12辆（类别可能重叠）。无标签真值的车辆不要计入准确率。</t>
  </si>
  <si>
    <t>注意</t>
  </si>
  <si>
    <t>真实人数为空是有意保留，避免把问题描述误当作完整真值。准确率公式会在人工补填后自动更新。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</si>
</sst>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 辆&quot;"/>
  </numFmts>
  <fonts count="26">
    <font>
      <sz val="11"/>
      <color theme="1"/>
      <name val="宋体"/>
      <charset val="134"/>
      <scheme val="minor"/>
    </font>
    <font>
      <b/>
      <sz val="15"/>
      <color rgb="FFFFFFFF"/>
      <name val="宋体"/>
      <charset val="134"/>
      <scheme val="minor"/>
    </font>
    <font>
      <b/>
      <sz val="11"/>
      <color rgb="FF17365D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7F6000"/>
      <name val="宋体"/>
      <charset val="134"/>
      <scheme val="minor"/>
    </font>
    <font>
      <b/>
      <sz val="11"/>
      <color rgb="FF274E1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medium">
        <color rgb="FF6AA84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" fontId="0" fillId="4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5" fillId="5" borderId="2" xfId="0" applyFont="1" applyFill="1" applyBorder="1"/>
    <xf numFmtId="176" fontId="5" fillId="5" borderId="2" xfId="0" applyNumberFormat="1" applyFont="1" applyFill="1" applyBorder="1"/>
    <xf numFmtId="10" fontId="5" fillId="5" borderId="2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2"/>
  <sheetViews>
    <sheetView tabSelected="1" workbookViewId="0">
      <pane xSplit="1" ySplit="1" topLeftCell="B181" activePane="bottomRight" state="frozen"/>
      <selection/>
      <selection pane="topRight"/>
      <selection pane="bottomLeft"/>
      <selection pane="bottomRight" activeCell="B221" sqref="B221"/>
    </sheetView>
  </sheetViews>
  <sheetFormatPr defaultColWidth="9" defaultRowHeight="14.1"/>
  <cols>
    <col min="1" max="1" width="34" customWidth="1"/>
    <col min="2" max="2" width="20" customWidth="1"/>
    <col min="3" max="3" width="15" customWidth="1"/>
    <col min="4" max="4" width="18" customWidth="1"/>
    <col min="5" max="5" width="15" customWidth="1"/>
    <col min="6" max="6" width="42" customWidth="1"/>
    <col min="7" max="7" width="10" customWidth="1"/>
    <col min="8" max="8" width="30" customWidth="1"/>
    <col min="9" max="9" width="40" customWidth="1"/>
    <col min="10" max="10" width="16.3063063063063" customWidth="1"/>
  </cols>
  <sheetData>
    <row r="1" ht="34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4.15" spans="1:10">
      <c r="A2" s="5" t="s">
        <v>10</v>
      </c>
      <c r="B2" s="6">
        <v>2</v>
      </c>
      <c r="C2" s="7">
        <v>2</v>
      </c>
      <c r="D2" s="7">
        <f t="shared" ref="D2:D65" si="0">IF(B2="","",C2-B2)</f>
        <v>0</v>
      </c>
      <c r="E2" s="8">
        <f t="shared" ref="E2:E65" si="1">IF(B2="","",--(B2=C2))</f>
        <v>1</v>
      </c>
      <c r="F2" s="5" t="s">
        <v>11</v>
      </c>
      <c r="G2" s="9">
        <v>8</v>
      </c>
      <c r="H2" s="5" t="s">
        <v>12</v>
      </c>
      <c r="I2" s="5" t="s">
        <v>13</v>
      </c>
    </row>
    <row r="3" ht="14.15" spans="1:10">
      <c r="A3" s="5" t="s">
        <v>14</v>
      </c>
      <c r="B3" s="6">
        <v>2</v>
      </c>
      <c r="C3" s="7">
        <v>2</v>
      </c>
      <c r="D3" s="7">
        <f t="shared" si="0"/>
        <v>0</v>
      </c>
      <c r="E3" s="8">
        <f t="shared" si="1"/>
        <v>1</v>
      </c>
      <c r="F3" s="5" t="s">
        <v>15</v>
      </c>
      <c r="G3" s="9">
        <v>8</v>
      </c>
      <c r="H3" s="5" t="s">
        <v>12</v>
      </c>
      <c r="I3" s="5" t="s">
        <v>13</v>
      </c>
    </row>
    <row r="4" ht="14.15" spans="1:10">
      <c r="A4" s="5" t="s">
        <v>16</v>
      </c>
      <c r="B4" s="6">
        <v>3</v>
      </c>
      <c r="C4" s="7">
        <v>3</v>
      </c>
      <c r="D4" s="7">
        <f t="shared" si="0"/>
        <v>0</v>
      </c>
      <c r="E4" s="8">
        <f t="shared" si="1"/>
        <v>1</v>
      </c>
      <c r="F4" s="5" t="s">
        <v>17</v>
      </c>
      <c r="G4" s="9">
        <v>8</v>
      </c>
      <c r="H4" s="5" t="s">
        <v>12</v>
      </c>
      <c r="I4" s="5" t="s">
        <v>13</v>
      </c>
    </row>
    <row r="5" ht="14.15" spans="1:10">
      <c r="A5" s="5" t="s">
        <v>18</v>
      </c>
      <c r="B5" s="6">
        <v>2</v>
      </c>
      <c r="C5" s="7">
        <v>2</v>
      </c>
      <c r="D5" s="7">
        <f t="shared" si="0"/>
        <v>0</v>
      </c>
      <c r="E5" s="8">
        <f t="shared" si="1"/>
        <v>1</v>
      </c>
      <c r="F5" s="5" t="s">
        <v>11</v>
      </c>
      <c r="G5" s="9">
        <v>8</v>
      </c>
      <c r="H5" s="5" t="s">
        <v>12</v>
      </c>
      <c r="I5" s="5" t="s">
        <v>13</v>
      </c>
    </row>
    <row r="6" ht="14.15" spans="1:10">
      <c r="A6" s="5" t="s">
        <v>19</v>
      </c>
      <c r="B6" s="6">
        <v>2</v>
      </c>
      <c r="C6" s="7">
        <v>5</v>
      </c>
      <c r="D6" s="7">
        <f t="shared" si="0"/>
        <v>3</v>
      </c>
      <c r="E6" s="8">
        <f t="shared" si="1"/>
        <v>0</v>
      </c>
      <c r="F6" s="5" t="s">
        <v>20</v>
      </c>
      <c r="G6" s="9">
        <v>8</v>
      </c>
      <c r="H6" s="5" t="s">
        <v>12</v>
      </c>
      <c r="I6" s="5" t="s">
        <v>13</v>
      </c>
    </row>
    <row r="7" ht="14.15" spans="1:10">
      <c r="A7" s="5" t="s">
        <v>21</v>
      </c>
      <c r="B7" s="6">
        <v>6</v>
      </c>
      <c r="C7" s="7">
        <v>6</v>
      </c>
      <c r="D7" s="7">
        <f t="shared" si="0"/>
        <v>0</v>
      </c>
      <c r="E7" s="8">
        <f t="shared" si="1"/>
        <v>1</v>
      </c>
      <c r="F7" s="5" t="s">
        <v>22</v>
      </c>
      <c r="G7" s="9">
        <v>61</v>
      </c>
      <c r="H7" s="5" t="s">
        <v>23</v>
      </c>
      <c r="I7" s="5" t="s">
        <v>24</v>
      </c>
    </row>
    <row r="8" ht="14.15" spans="1:10">
      <c r="A8" s="5" t="s">
        <v>25</v>
      </c>
      <c r="B8" s="6">
        <v>6</v>
      </c>
      <c r="C8" s="7">
        <v>6</v>
      </c>
      <c r="D8" s="7">
        <f t="shared" si="0"/>
        <v>0</v>
      </c>
      <c r="E8" s="8">
        <f t="shared" si="1"/>
        <v>1</v>
      </c>
      <c r="F8" s="5" t="s">
        <v>22</v>
      </c>
      <c r="G8" s="9">
        <v>64</v>
      </c>
      <c r="H8" s="5" t="s">
        <v>23</v>
      </c>
      <c r="I8" s="5" t="s">
        <v>26</v>
      </c>
    </row>
    <row r="9" ht="14.15" spans="1:10">
      <c r="A9" s="5" t="s">
        <v>27</v>
      </c>
      <c r="B9" s="6">
        <v>6</v>
      </c>
      <c r="C9" s="7">
        <v>6</v>
      </c>
      <c r="D9" s="7">
        <f t="shared" si="0"/>
        <v>0</v>
      </c>
      <c r="E9" s="8">
        <f t="shared" si="1"/>
        <v>1</v>
      </c>
      <c r="F9" s="5" t="s">
        <v>22</v>
      </c>
      <c r="G9" s="9">
        <v>64</v>
      </c>
      <c r="H9" s="5" t="s">
        <v>28</v>
      </c>
      <c r="I9" s="5" t="s">
        <v>29</v>
      </c>
    </row>
    <row r="10" ht="14.15" spans="1:10">
      <c r="A10" s="5" t="s">
        <v>30</v>
      </c>
      <c r="B10" s="6">
        <v>6</v>
      </c>
      <c r="C10" s="7">
        <v>5</v>
      </c>
      <c r="D10" s="7">
        <f t="shared" si="0"/>
        <v>-1</v>
      </c>
      <c r="E10" s="8">
        <f t="shared" si="1"/>
        <v>0</v>
      </c>
      <c r="F10" s="5" t="s">
        <v>31</v>
      </c>
      <c r="G10" s="9">
        <v>64</v>
      </c>
      <c r="H10" s="5" t="s">
        <v>23</v>
      </c>
      <c r="I10" s="5" t="s">
        <v>32</v>
      </c>
    </row>
    <row r="11" ht="14.15" spans="1:10">
      <c r="A11" s="5" t="s">
        <v>33</v>
      </c>
      <c r="B11" s="6">
        <v>6</v>
      </c>
      <c r="C11" s="7">
        <v>6</v>
      </c>
      <c r="D11" s="7">
        <f t="shared" si="0"/>
        <v>0</v>
      </c>
      <c r="E11" s="8">
        <f t="shared" si="1"/>
        <v>1</v>
      </c>
      <c r="F11" s="5" t="s">
        <v>22</v>
      </c>
      <c r="G11" s="9">
        <v>64</v>
      </c>
      <c r="H11" s="5" t="s">
        <v>23</v>
      </c>
      <c r="I11" s="5" t="s">
        <v>34</v>
      </c>
    </row>
    <row r="12" ht="14.15" spans="1:10">
      <c r="A12" s="5" t="s">
        <v>35</v>
      </c>
      <c r="B12" s="6">
        <v>6</v>
      </c>
      <c r="C12" s="7">
        <v>6</v>
      </c>
      <c r="D12" s="7">
        <f t="shared" si="0"/>
        <v>0</v>
      </c>
      <c r="E12" s="8">
        <f t="shared" si="1"/>
        <v>1</v>
      </c>
      <c r="F12" s="5" t="s">
        <v>36</v>
      </c>
      <c r="G12" s="9">
        <v>64</v>
      </c>
      <c r="H12" s="5" t="s">
        <v>28</v>
      </c>
      <c r="I12" s="5" t="s">
        <v>37</v>
      </c>
    </row>
    <row r="13" ht="14.15" spans="1:10">
      <c r="A13" s="5" t="s">
        <v>38</v>
      </c>
      <c r="B13" s="6">
        <v>6</v>
      </c>
      <c r="C13" s="7">
        <v>5</v>
      </c>
      <c r="D13" s="7">
        <f t="shared" si="0"/>
        <v>-1</v>
      </c>
      <c r="E13" s="8">
        <f t="shared" si="1"/>
        <v>0</v>
      </c>
      <c r="F13" s="5" t="s">
        <v>39</v>
      </c>
      <c r="G13" s="9">
        <v>8</v>
      </c>
      <c r="H13" s="5" t="s">
        <v>23</v>
      </c>
      <c r="I13" s="5" t="s">
        <v>40</v>
      </c>
    </row>
    <row r="14" ht="14.15" spans="1:10">
      <c r="A14" s="5" t="s">
        <v>41</v>
      </c>
      <c r="B14" s="6">
        <v>8</v>
      </c>
      <c r="C14" s="7">
        <v>8</v>
      </c>
      <c r="D14" s="7">
        <f t="shared" si="0"/>
        <v>0</v>
      </c>
      <c r="E14" s="8">
        <f t="shared" si="1"/>
        <v>1</v>
      </c>
      <c r="F14" s="5" t="s">
        <v>42</v>
      </c>
      <c r="G14" s="9">
        <v>8</v>
      </c>
      <c r="H14" s="5" t="s">
        <v>23</v>
      </c>
      <c r="I14" s="5" t="s">
        <v>43</v>
      </c>
      <c r="J14" t="s">
        <v>44</v>
      </c>
    </row>
    <row r="15" ht="14.15" spans="1:10">
      <c r="A15" s="5" t="s">
        <v>45</v>
      </c>
      <c r="B15" s="6">
        <v>4</v>
      </c>
      <c r="C15" s="7">
        <v>5</v>
      </c>
      <c r="D15" s="7">
        <f t="shared" si="0"/>
        <v>1</v>
      </c>
      <c r="E15" s="8">
        <f t="shared" si="1"/>
        <v>0</v>
      </c>
      <c r="F15" s="5" t="s">
        <v>46</v>
      </c>
      <c r="G15" s="9">
        <v>8</v>
      </c>
      <c r="H15" s="5" t="s">
        <v>23</v>
      </c>
      <c r="I15" s="5" t="s">
        <v>47</v>
      </c>
    </row>
    <row r="16" ht="14.15" spans="1:10">
      <c r="A16" s="5" t="s">
        <v>48</v>
      </c>
      <c r="B16" s="6">
        <v>5</v>
      </c>
      <c r="C16" s="7">
        <v>4</v>
      </c>
      <c r="D16" s="7">
        <f t="shared" si="0"/>
        <v>-1</v>
      </c>
      <c r="E16" s="8">
        <f t="shared" si="1"/>
        <v>0</v>
      </c>
      <c r="F16" s="5" t="s">
        <v>49</v>
      </c>
      <c r="G16" s="9">
        <v>8</v>
      </c>
      <c r="H16" s="5" t="s">
        <v>23</v>
      </c>
      <c r="I16" s="5" t="s">
        <v>50</v>
      </c>
    </row>
    <row r="17" ht="14.15" spans="1:9">
      <c r="A17" s="5" t="s">
        <v>51</v>
      </c>
      <c r="B17" s="6">
        <v>5</v>
      </c>
      <c r="C17" s="7">
        <v>5</v>
      </c>
      <c r="D17" s="7">
        <f t="shared" si="0"/>
        <v>0</v>
      </c>
      <c r="E17" s="8">
        <f t="shared" si="1"/>
        <v>1</v>
      </c>
      <c r="F17" s="5" t="s">
        <v>39</v>
      </c>
      <c r="G17" s="9">
        <v>8</v>
      </c>
      <c r="H17" s="5" t="s">
        <v>23</v>
      </c>
      <c r="I17" s="5" t="s">
        <v>52</v>
      </c>
    </row>
    <row r="18" ht="14.15" spans="1:9">
      <c r="A18" s="5" t="s">
        <v>53</v>
      </c>
      <c r="B18" s="6">
        <v>4</v>
      </c>
      <c r="C18" s="7">
        <v>4</v>
      </c>
      <c r="D18" s="7">
        <f t="shared" si="0"/>
        <v>0</v>
      </c>
      <c r="E18" s="8">
        <f t="shared" si="1"/>
        <v>1</v>
      </c>
      <c r="F18" s="5" t="s">
        <v>54</v>
      </c>
      <c r="G18" s="9">
        <v>8</v>
      </c>
      <c r="H18" s="5" t="s">
        <v>28</v>
      </c>
      <c r="I18" s="5" t="s">
        <v>55</v>
      </c>
    </row>
    <row r="19" ht="14.15" spans="1:9">
      <c r="A19" s="5" t="s">
        <v>56</v>
      </c>
      <c r="B19" s="6">
        <v>1</v>
      </c>
      <c r="C19" s="7">
        <v>1</v>
      </c>
      <c r="D19" s="7">
        <f t="shared" si="0"/>
        <v>0</v>
      </c>
      <c r="E19" s="8">
        <f t="shared" si="1"/>
        <v>1</v>
      </c>
      <c r="F19" s="5" t="s">
        <v>57</v>
      </c>
      <c r="G19" s="9">
        <v>8</v>
      </c>
      <c r="H19" s="5" t="s">
        <v>28</v>
      </c>
      <c r="I19" s="5" t="s">
        <v>58</v>
      </c>
    </row>
    <row r="20" ht="14.15" spans="1:9">
      <c r="A20" s="5" t="s">
        <v>59</v>
      </c>
      <c r="B20" s="6">
        <v>5</v>
      </c>
      <c r="C20" s="7">
        <v>5</v>
      </c>
      <c r="D20" s="7">
        <f t="shared" si="0"/>
        <v>0</v>
      </c>
      <c r="E20" s="8">
        <f t="shared" si="1"/>
        <v>1</v>
      </c>
      <c r="F20" s="5" t="s">
        <v>31</v>
      </c>
      <c r="G20" s="9">
        <v>8</v>
      </c>
      <c r="H20" s="5" t="s">
        <v>28</v>
      </c>
      <c r="I20" s="5" t="s">
        <v>60</v>
      </c>
    </row>
    <row r="21" ht="14.15" spans="1:9">
      <c r="A21" s="5" t="s">
        <v>61</v>
      </c>
      <c r="B21" s="6">
        <v>4</v>
      </c>
      <c r="C21" s="7">
        <v>3</v>
      </c>
      <c r="D21" s="7">
        <f t="shared" si="0"/>
        <v>-1</v>
      </c>
      <c r="E21" s="8">
        <f t="shared" si="1"/>
        <v>0</v>
      </c>
      <c r="F21" s="5" t="s">
        <v>17</v>
      </c>
      <c r="G21" s="9">
        <v>8</v>
      </c>
      <c r="H21" s="5" t="s">
        <v>23</v>
      </c>
      <c r="I21" s="5" t="s">
        <v>62</v>
      </c>
    </row>
    <row r="22" ht="14.15" spans="1:9">
      <c r="A22" s="5" t="s">
        <v>63</v>
      </c>
      <c r="B22" s="6">
        <v>2</v>
      </c>
      <c r="C22" s="7">
        <v>2</v>
      </c>
      <c r="D22" s="7">
        <f t="shared" si="0"/>
        <v>0</v>
      </c>
      <c r="E22" s="8">
        <f t="shared" si="1"/>
        <v>1</v>
      </c>
      <c r="F22" s="5" t="s">
        <v>64</v>
      </c>
      <c r="G22" s="9">
        <v>8</v>
      </c>
      <c r="H22" s="5" t="s">
        <v>23</v>
      </c>
      <c r="I22" s="5" t="s">
        <v>65</v>
      </c>
    </row>
    <row r="23" ht="14.15" spans="1:9">
      <c r="A23" s="5" t="s">
        <v>66</v>
      </c>
      <c r="B23" s="6">
        <v>2</v>
      </c>
      <c r="C23" s="7">
        <v>3</v>
      </c>
      <c r="D23" s="7">
        <f t="shared" si="0"/>
        <v>1</v>
      </c>
      <c r="E23" s="8">
        <f t="shared" si="1"/>
        <v>0</v>
      </c>
      <c r="F23" s="5" t="s">
        <v>67</v>
      </c>
      <c r="G23" s="9">
        <v>8</v>
      </c>
      <c r="H23" s="5" t="s">
        <v>23</v>
      </c>
      <c r="I23" s="5" t="s">
        <v>68</v>
      </c>
    </row>
    <row r="24" ht="14.15" spans="1:9">
      <c r="A24" s="5" t="s">
        <v>69</v>
      </c>
      <c r="B24" s="6">
        <v>1</v>
      </c>
      <c r="C24" s="7">
        <v>1</v>
      </c>
      <c r="D24" s="7">
        <f t="shared" si="0"/>
        <v>0</v>
      </c>
      <c r="E24" s="8">
        <f t="shared" si="1"/>
        <v>1</v>
      </c>
      <c r="F24" s="5" t="s">
        <v>70</v>
      </c>
      <c r="G24" s="9">
        <v>8</v>
      </c>
      <c r="H24" s="5" t="s">
        <v>28</v>
      </c>
      <c r="I24" s="5" t="s">
        <v>71</v>
      </c>
    </row>
    <row r="25" ht="14.15" spans="1:9">
      <c r="A25" s="5" t="s">
        <v>72</v>
      </c>
      <c r="B25" s="6">
        <v>3</v>
      </c>
      <c r="C25" s="7">
        <v>3</v>
      </c>
      <c r="D25" s="7">
        <f t="shared" si="0"/>
        <v>0</v>
      </c>
      <c r="E25" s="8">
        <f t="shared" si="1"/>
        <v>1</v>
      </c>
      <c r="F25" s="5" t="s">
        <v>73</v>
      </c>
      <c r="G25" s="9">
        <v>8</v>
      </c>
      <c r="H25" s="5" t="s">
        <v>23</v>
      </c>
      <c r="I25" s="5" t="s">
        <v>74</v>
      </c>
    </row>
    <row r="26" ht="14.15" spans="1:9">
      <c r="A26" s="5" t="s">
        <v>75</v>
      </c>
      <c r="B26" s="6">
        <v>4</v>
      </c>
      <c r="C26" s="7">
        <v>4</v>
      </c>
      <c r="D26" s="7">
        <f t="shared" si="0"/>
        <v>0</v>
      </c>
      <c r="E26" s="8">
        <f t="shared" si="1"/>
        <v>1</v>
      </c>
      <c r="F26" s="5" t="s">
        <v>54</v>
      </c>
      <c r="G26" s="9">
        <v>8</v>
      </c>
      <c r="H26" s="5" t="s">
        <v>23</v>
      </c>
      <c r="I26" s="5" t="s">
        <v>74</v>
      </c>
    </row>
    <row r="27" ht="14.15" spans="1:9">
      <c r="A27" s="5" t="s">
        <v>76</v>
      </c>
      <c r="B27" s="6">
        <v>2</v>
      </c>
      <c r="C27" s="7">
        <v>1</v>
      </c>
      <c r="D27" s="7">
        <f t="shared" si="0"/>
        <v>-1</v>
      </c>
      <c r="E27" s="8">
        <f t="shared" si="1"/>
        <v>0</v>
      </c>
      <c r="F27" s="5" t="s">
        <v>77</v>
      </c>
      <c r="G27" s="9">
        <v>8</v>
      </c>
      <c r="H27" s="5" t="s">
        <v>23</v>
      </c>
      <c r="I27" s="5" t="s">
        <v>78</v>
      </c>
    </row>
    <row r="28" ht="14.15" spans="1:9">
      <c r="A28" s="5" t="s">
        <v>79</v>
      </c>
      <c r="B28" s="6">
        <v>2</v>
      </c>
      <c r="C28" s="7">
        <v>2</v>
      </c>
      <c r="D28" s="7">
        <f t="shared" si="0"/>
        <v>0</v>
      </c>
      <c r="E28" s="8">
        <f t="shared" si="1"/>
        <v>1</v>
      </c>
      <c r="F28" s="5" t="s">
        <v>64</v>
      </c>
      <c r="G28" s="9">
        <v>6</v>
      </c>
      <c r="H28" s="5" t="s">
        <v>23</v>
      </c>
      <c r="I28" s="5" t="s">
        <v>80</v>
      </c>
    </row>
    <row r="29" ht="14.15" spans="1:9">
      <c r="A29" s="5" t="s">
        <v>81</v>
      </c>
      <c r="B29" s="6">
        <v>2</v>
      </c>
      <c r="C29" s="7">
        <v>1</v>
      </c>
      <c r="D29" s="7">
        <f t="shared" si="0"/>
        <v>-1</v>
      </c>
      <c r="E29" s="8">
        <f t="shared" si="1"/>
        <v>0</v>
      </c>
      <c r="F29" s="5" t="s">
        <v>70</v>
      </c>
      <c r="G29" s="9">
        <v>7</v>
      </c>
      <c r="H29" s="5" t="s">
        <v>28</v>
      </c>
      <c r="I29" s="5" t="s">
        <v>82</v>
      </c>
    </row>
    <row r="30" ht="14.15" spans="1:9">
      <c r="A30" s="5" t="s">
        <v>83</v>
      </c>
      <c r="B30" s="6">
        <v>5</v>
      </c>
      <c r="C30" s="7">
        <v>3</v>
      </c>
      <c r="D30" s="7">
        <f t="shared" si="0"/>
        <v>-2</v>
      </c>
      <c r="E30" s="8">
        <f t="shared" si="1"/>
        <v>0</v>
      </c>
      <c r="F30" s="5" t="s">
        <v>84</v>
      </c>
      <c r="G30" s="9">
        <v>11</v>
      </c>
      <c r="H30" s="5" t="s">
        <v>28</v>
      </c>
      <c r="I30" s="5" t="s">
        <v>85</v>
      </c>
    </row>
    <row r="31" ht="28.3" spans="1:9">
      <c r="A31" s="5" t="s">
        <v>86</v>
      </c>
      <c r="B31" s="6">
        <v>2</v>
      </c>
      <c r="C31" s="7">
        <v>2</v>
      </c>
      <c r="D31" s="7">
        <f t="shared" si="0"/>
        <v>0</v>
      </c>
      <c r="E31" s="8">
        <f t="shared" si="1"/>
        <v>1</v>
      </c>
      <c r="F31" s="5" t="s">
        <v>87</v>
      </c>
      <c r="G31" s="9">
        <v>54</v>
      </c>
      <c r="H31" s="5" t="s">
        <v>23</v>
      </c>
      <c r="I31" s="5" t="s">
        <v>88</v>
      </c>
    </row>
    <row r="32" ht="28.3" spans="1:9">
      <c r="A32" s="5" t="s">
        <v>89</v>
      </c>
      <c r="B32" s="6">
        <v>2</v>
      </c>
      <c r="C32" s="7">
        <v>3</v>
      </c>
      <c r="D32" s="7">
        <f t="shared" si="0"/>
        <v>1</v>
      </c>
      <c r="E32" s="8">
        <f t="shared" si="1"/>
        <v>0</v>
      </c>
      <c r="F32" s="5" t="s">
        <v>90</v>
      </c>
      <c r="G32" s="9">
        <v>54</v>
      </c>
      <c r="H32" s="5" t="s">
        <v>23</v>
      </c>
      <c r="I32" s="5" t="s">
        <v>91</v>
      </c>
    </row>
    <row r="33" ht="14.15" spans="1:10">
      <c r="A33" s="5" t="s">
        <v>92</v>
      </c>
      <c r="B33" s="6">
        <v>5</v>
      </c>
      <c r="C33" s="7">
        <v>5</v>
      </c>
      <c r="D33" s="7">
        <f t="shared" si="0"/>
        <v>0</v>
      </c>
      <c r="E33" s="8">
        <f t="shared" si="1"/>
        <v>1</v>
      </c>
      <c r="F33" s="5" t="s">
        <v>39</v>
      </c>
      <c r="G33" s="9">
        <v>8</v>
      </c>
      <c r="H33" s="5" t="s">
        <v>23</v>
      </c>
      <c r="I33" s="5" t="s">
        <v>93</v>
      </c>
    </row>
    <row r="34" ht="14.15" spans="1:10">
      <c r="A34" s="5" t="s">
        <v>94</v>
      </c>
      <c r="B34" s="6">
        <v>4</v>
      </c>
      <c r="C34" s="7">
        <v>5</v>
      </c>
      <c r="D34" s="7">
        <f t="shared" si="0"/>
        <v>1</v>
      </c>
      <c r="E34" s="8">
        <f t="shared" si="1"/>
        <v>0</v>
      </c>
      <c r="F34" s="5" t="s">
        <v>31</v>
      </c>
      <c r="G34" s="9">
        <v>8</v>
      </c>
      <c r="H34" s="5" t="s">
        <v>28</v>
      </c>
      <c r="I34" s="5" t="s">
        <v>95</v>
      </c>
    </row>
    <row r="35" ht="14.15" spans="1:10">
      <c r="A35" s="5" t="s">
        <v>96</v>
      </c>
      <c r="B35" s="6">
        <v>5</v>
      </c>
      <c r="C35" s="7">
        <v>5</v>
      </c>
      <c r="D35" s="7">
        <f t="shared" si="0"/>
        <v>0</v>
      </c>
      <c r="E35" s="8">
        <f t="shared" si="1"/>
        <v>1</v>
      </c>
      <c r="F35" s="5" t="s">
        <v>39</v>
      </c>
      <c r="G35" s="9">
        <v>8</v>
      </c>
      <c r="H35" s="5" t="s">
        <v>23</v>
      </c>
      <c r="I35" s="5" t="s">
        <v>97</v>
      </c>
    </row>
    <row r="36" ht="14.15" spans="1:10">
      <c r="A36" s="5" t="s">
        <v>98</v>
      </c>
      <c r="B36" s="6">
        <v>3</v>
      </c>
      <c r="C36" s="7">
        <v>3</v>
      </c>
      <c r="D36" s="7">
        <f t="shared" si="0"/>
        <v>0</v>
      </c>
      <c r="E36" s="8">
        <f t="shared" si="1"/>
        <v>1</v>
      </c>
      <c r="F36" s="5" t="s">
        <v>17</v>
      </c>
      <c r="G36" s="9">
        <v>8</v>
      </c>
      <c r="H36" s="5" t="s">
        <v>23</v>
      </c>
      <c r="I36" s="5" t="s">
        <v>99</v>
      </c>
    </row>
    <row r="37" ht="14.15" spans="1:10">
      <c r="A37" s="5" t="s">
        <v>100</v>
      </c>
      <c r="B37" s="6">
        <v>4</v>
      </c>
      <c r="C37" s="7">
        <v>4</v>
      </c>
      <c r="D37" s="7">
        <f t="shared" si="0"/>
        <v>0</v>
      </c>
      <c r="E37" s="8">
        <f t="shared" si="1"/>
        <v>1</v>
      </c>
      <c r="F37" s="5" t="s">
        <v>101</v>
      </c>
      <c r="G37" s="9">
        <v>8</v>
      </c>
      <c r="H37" s="5" t="s">
        <v>23</v>
      </c>
      <c r="I37" s="5" t="s">
        <v>102</v>
      </c>
    </row>
    <row r="38" ht="14.15" spans="1:10">
      <c r="A38" s="5" t="s">
        <v>103</v>
      </c>
      <c r="B38" s="6">
        <v>4</v>
      </c>
      <c r="C38" s="7">
        <v>4</v>
      </c>
      <c r="D38" s="7">
        <f t="shared" si="0"/>
        <v>0</v>
      </c>
      <c r="E38" s="8">
        <f t="shared" si="1"/>
        <v>1</v>
      </c>
      <c r="F38" s="5" t="s">
        <v>54</v>
      </c>
      <c r="G38" s="9">
        <v>8</v>
      </c>
      <c r="H38" s="5" t="s">
        <v>28</v>
      </c>
      <c r="I38" s="5" t="s">
        <v>104</v>
      </c>
    </row>
    <row r="39" ht="14.15" spans="1:10">
      <c r="A39" s="5" t="s">
        <v>105</v>
      </c>
      <c r="B39" s="6">
        <v>4</v>
      </c>
      <c r="C39" s="7">
        <v>4</v>
      </c>
      <c r="D39" s="7">
        <f t="shared" si="0"/>
        <v>0</v>
      </c>
      <c r="E39" s="8">
        <f t="shared" si="1"/>
        <v>1</v>
      </c>
      <c r="F39" s="5" t="s">
        <v>54</v>
      </c>
      <c r="G39" s="9">
        <v>8</v>
      </c>
      <c r="H39" s="5" t="s">
        <v>23</v>
      </c>
      <c r="I39" s="5" t="s">
        <v>106</v>
      </c>
    </row>
    <row r="40" ht="14.15" spans="1:10">
      <c r="A40" s="5" t="s">
        <v>107</v>
      </c>
      <c r="B40" s="6">
        <v>4</v>
      </c>
      <c r="C40" s="7">
        <v>4</v>
      </c>
      <c r="D40" s="7">
        <f t="shared" si="0"/>
        <v>0</v>
      </c>
      <c r="E40" s="8">
        <f t="shared" si="1"/>
        <v>1</v>
      </c>
      <c r="F40" s="5" t="s">
        <v>54</v>
      </c>
      <c r="G40" s="9">
        <v>8</v>
      </c>
      <c r="H40" s="5" t="s">
        <v>23</v>
      </c>
      <c r="I40" s="5" t="s">
        <v>108</v>
      </c>
    </row>
    <row r="41" ht="14.15" spans="1:10">
      <c r="A41" s="5" t="s">
        <v>109</v>
      </c>
      <c r="B41" s="6">
        <v>2</v>
      </c>
      <c r="C41" s="7">
        <v>1</v>
      </c>
      <c r="D41" s="7">
        <f t="shared" si="0"/>
        <v>-1</v>
      </c>
      <c r="E41" s="8">
        <f t="shared" si="1"/>
        <v>0</v>
      </c>
      <c r="F41" s="5" t="s">
        <v>110</v>
      </c>
      <c r="G41" s="9">
        <v>8</v>
      </c>
      <c r="H41" s="5" t="s">
        <v>23</v>
      </c>
      <c r="I41" s="5" t="s">
        <v>111</v>
      </c>
    </row>
    <row r="42" ht="14.15" spans="1:10">
      <c r="A42" s="5" t="s">
        <v>112</v>
      </c>
      <c r="B42" s="6">
        <v>4</v>
      </c>
      <c r="C42" s="7">
        <v>3</v>
      </c>
      <c r="D42" s="7">
        <f t="shared" si="0"/>
        <v>-1</v>
      </c>
      <c r="E42" s="8">
        <f t="shared" si="1"/>
        <v>0</v>
      </c>
      <c r="F42" s="5" t="s">
        <v>17</v>
      </c>
      <c r="G42" s="9">
        <v>8</v>
      </c>
      <c r="H42" s="5" t="s">
        <v>23</v>
      </c>
      <c r="I42" s="5" t="s">
        <v>111</v>
      </c>
    </row>
    <row r="43" ht="14.15" spans="1:10">
      <c r="A43" s="5" t="s">
        <v>113</v>
      </c>
      <c r="B43" s="6">
        <v>7</v>
      </c>
      <c r="C43" s="7">
        <v>6</v>
      </c>
      <c r="D43" s="7">
        <f t="shared" si="0"/>
        <v>-1</v>
      </c>
      <c r="E43" s="8">
        <f t="shared" si="1"/>
        <v>0</v>
      </c>
      <c r="F43" s="5" t="s">
        <v>114</v>
      </c>
      <c r="G43" s="9">
        <v>7</v>
      </c>
      <c r="H43" s="5" t="s">
        <v>23</v>
      </c>
      <c r="I43" s="5" t="s">
        <v>115</v>
      </c>
    </row>
    <row r="44" ht="14.15" spans="1:10">
      <c r="A44" s="5" t="s">
        <v>116</v>
      </c>
      <c r="B44" s="6">
        <v>3</v>
      </c>
      <c r="C44" s="7">
        <v>3</v>
      </c>
      <c r="D44" s="7">
        <f t="shared" si="0"/>
        <v>0</v>
      </c>
      <c r="E44" s="8">
        <f t="shared" si="1"/>
        <v>1</v>
      </c>
      <c r="F44" s="5" t="s">
        <v>117</v>
      </c>
      <c r="G44" s="9">
        <v>8</v>
      </c>
      <c r="H44" s="5" t="s">
        <v>23</v>
      </c>
      <c r="I44" s="5" t="s">
        <v>118</v>
      </c>
      <c r="J44" t="s">
        <v>44</v>
      </c>
    </row>
    <row r="45" ht="14.15" spans="1:10">
      <c r="A45" s="5" t="s">
        <v>119</v>
      </c>
      <c r="B45" s="6">
        <v>2</v>
      </c>
      <c r="C45" s="7">
        <v>3</v>
      </c>
      <c r="D45" s="7">
        <f t="shared" si="0"/>
        <v>1</v>
      </c>
      <c r="E45" s="8">
        <f t="shared" si="1"/>
        <v>0</v>
      </c>
      <c r="F45" s="5" t="s">
        <v>67</v>
      </c>
      <c r="G45" s="9">
        <v>8</v>
      </c>
      <c r="H45" s="5" t="s">
        <v>23</v>
      </c>
      <c r="I45" s="5" t="s">
        <v>118</v>
      </c>
    </row>
    <row r="46" ht="14.15" spans="1:10">
      <c r="A46" s="5" t="s">
        <v>120</v>
      </c>
      <c r="B46" s="6">
        <v>2</v>
      </c>
      <c r="C46" s="7">
        <v>3</v>
      </c>
      <c r="D46" s="7">
        <f t="shared" si="0"/>
        <v>1</v>
      </c>
      <c r="E46" s="8">
        <f t="shared" si="1"/>
        <v>0</v>
      </c>
      <c r="F46" s="5" t="s">
        <v>17</v>
      </c>
      <c r="G46" s="9">
        <v>8</v>
      </c>
      <c r="H46" s="5" t="s">
        <v>23</v>
      </c>
      <c r="I46" s="5" t="s">
        <v>121</v>
      </c>
    </row>
    <row r="47" ht="14.15" spans="1:10">
      <c r="A47" s="5" t="s">
        <v>122</v>
      </c>
      <c r="B47" s="6">
        <v>5</v>
      </c>
      <c r="C47" s="7">
        <v>5</v>
      </c>
      <c r="D47" s="7">
        <f t="shared" si="0"/>
        <v>0</v>
      </c>
      <c r="E47" s="8">
        <f t="shared" si="1"/>
        <v>1</v>
      </c>
      <c r="F47" s="5" t="s">
        <v>123</v>
      </c>
      <c r="G47" s="9">
        <v>8</v>
      </c>
      <c r="H47" s="5" t="s">
        <v>23</v>
      </c>
      <c r="I47" s="5" t="s">
        <v>124</v>
      </c>
    </row>
    <row r="48" ht="28.3" spans="1:10">
      <c r="A48" s="5" t="s">
        <v>125</v>
      </c>
      <c r="B48" s="6">
        <v>2</v>
      </c>
      <c r="C48" s="7">
        <v>2</v>
      </c>
      <c r="D48" s="7">
        <f t="shared" si="0"/>
        <v>0</v>
      </c>
      <c r="E48" s="8">
        <f t="shared" si="1"/>
        <v>1</v>
      </c>
      <c r="F48" s="5" t="s">
        <v>87</v>
      </c>
      <c r="G48" s="9">
        <v>37</v>
      </c>
      <c r="H48" s="5" t="s">
        <v>23</v>
      </c>
      <c r="I48" s="5" t="s">
        <v>126</v>
      </c>
    </row>
    <row r="49" ht="28.3" spans="1:9">
      <c r="A49" s="5" t="s">
        <v>127</v>
      </c>
      <c r="B49" s="6">
        <v>4</v>
      </c>
      <c r="C49" s="7">
        <v>4</v>
      </c>
      <c r="D49" s="7">
        <f t="shared" si="0"/>
        <v>0</v>
      </c>
      <c r="E49" s="8">
        <f t="shared" si="1"/>
        <v>1</v>
      </c>
      <c r="F49" s="5" t="s">
        <v>49</v>
      </c>
      <c r="G49" s="9">
        <v>38</v>
      </c>
      <c r="H49" s="5" t="s">
        <v>23</v>
      </c>
      <c r="I49" s="5" t="s">
        <v>128</v>
      </c>
    </row>
    <row r="50" ht="14.15" spans="1:9">
      <c r="A50" s="5" t="s">
        <v>129</v>
      </c>
      <c r="B50" s="6">
        <v>4</v>
      </c>
      <c r="C50" s="7">
        <v>4</v>
      </c>
      <c r="D50" s="7">
        <f t="shared" si="0"/>
        <v>0</v>
      </c>
      <c r="E50" s="8">
        <f t="shared" si="1"/>
        <v>1</v>
      </c>
      <c r="F50" s="5" t="s">
        <v>54</v>
      </c>
      <c r="G50" s="9">
        <v>8</v>
      </c>
      <c r="H50" s="5" t="s">
        <v>23</v>
      </c>
      <c r="I50" s="5" t="s">
        <v>130</v>
      </c>
    </row>
    <row r="51" ht="14.15" spans="1:9">
      <c r="A51" s="5" t="s">
        <v>131</v>
      </c>
      <c r="B51" s="6">
        <v>4</v>
      </c>
      <c r="C51" s="7">
        <v>3</v>
      </c>
      <c r="D51" s="7">
        <f t="shared" si="0"/>
        <v>-1</v>
      </c>
      <c r="E51" s="8">
        <f t="shared" si="1"/>
        <v>0</v>
      </c>
      <c r="F51" s="5" t="s">
        <v>73</v>
      </c>
      <c r="G51" s="9">
        <v>8</v>
      </c>
      <c r="H51" s="5" t="s">
        <v>23</v>
      </c>
      <c r="I51" s="5" t="s">
        <v>115</v>
      </c>
    </row>
    <row r="52" ht="14.15" spans="1:9">
      <c r="A52" s="5" t="s">
        <v>132</v>
      </c>
      <c r="B52" s="6">
        <v>2</v>
      </c>
      <c r="C52" s="7">
        <v>4</v>
      </c>
      <c r="D52" s="7">
        <f t="shared" si="0"/>
        <v>2</v>
      </c>
      <c r="E52" s="8">
        <f t="shared" si="1"/>
        <v>0</v>
      </c>
      <c r="F52" s="5" t="s">
        <v>54</v>
      </c>
      <c r="G52" s="9">
        <v>8</v>
      </c>
      <c r="H52" s="5" t="s">
        <v>23</v>
      </c>
      <c r="I52" s="5" t="s">
        <v>133</v>
      </c>
    </row>
    <row r="53" ht="14.15" spans="1:9">
      <c r="A53" s="5" t="s">
        <v>134</v>
      </c>
      <c r="B53" s="6">
        <v>5</v>
      </c>
      <c r="C53" s="7">
        <v>7</v>
      </c>
      <c r="D53" s="7">
        <f t="shared" si="0"/>
        <v>2</v>
      </c>
      <c r="E53" s="8">
        <f t="shared" si="1"/>
        <v>0</v>
      </c>
      <c r="F53" s="5" t="s">
        <v>135</v>
      </c>
      <c r="G53" s="9">
        <v>8</v>
      </c>
      <c r="H53" s="5" t="s">
        <v>23</v>
      </c>
      <c r="I53" s="5" t="s">
        <v>115</v>
      </c>
    </row>
    <row r="54" ht="14.15" spans="1:9">
      <c r="A54" s="5" t="s">
        <v>136</v>
      </c>
      <c r="B54" s="6">
        <v>3</v>
      </c>
      <c r="C54" s="7">
        <v>4</v>
      </c>
      <c r="D54" s="7">
        <f t="shared" si="0"/>
        <v>1</v>
      </c>
      <c r="E54" s="8">
        <f t="shared" si="1"/>
        <v>0</v>
      </c>
      <c r="F54" s="5" t="s">
        <v>54</v>
      </c>
      <c r="G54" s="9">
        <v>8</v>
      </c>
      <c r="H54" s="5" t="s">
        <v>23</v>
      </c>
      <c r="I54" s="5" t="s">
        <v>137</v>
      </c>
    </row>
    <row r="55" ht="14.15" spans="1:9">
      <c r="A55" s="5" t="s">
        <v>138</v>
      </c>
      <c r="B55" s="6">
        <v>3</v>
      </c>
      <c r="C55" s="7">
        <v>5</v>
      </c>
      <c r="D55" s="7">
        <f t="shared" si="0"/>
        <v>2</v>
      </c>
      <c r="E55" s="8">
        <f t="shared" si="1"/>
        <v>0</v>
      </c>
      <c r="F55" s="5" t="s">
        <v>46</v>
      </c>
      <c r="G55" s="9">
        <v>8</v>
      </c>
      <c r="H55" s="5" t="s">
        <v>23</v>
      </c>
      <c r="I55" s="5" t="s">
        <v>137</v>
      </c>
    </row>
    <row r="56" ht="14.15" spans="1:9">
      <c r="A56" s="5" t="s">
        <v>139</v>
      </c>
      <c r="B56" s="6">
        <v>5</v>
      </c>
      <c r="C56" s="7">
        <v>5</v>
      </c>
      <c r="D56" s="7">
        <f t="shared" si="0"/>
        <v>0</v>
      </c>
      <c r="E56" s="8">
        <f t="shared" si="1"/>
        <v>1</v>
      </c>
      <c r="F56" s="5" t="s">
        <v>39</v>
      </c>
      <c r="G56" s="9">
        <v>8</v>
      </c>
      <c r="H56" s="5" t="s">
        <v>28</v>
      </c>
      <c r="I56" s="5" t="s">
        <v>140</v>
      </c>
    </row>
    <row r="57" ht="14.15" spans="1:9">
      <c r="A57" s="5" t="s">
        <v>141</v>
      </c>
      <c r="B57" s="6">
        <v>3</v>
      </c>
      <c r="C57" s="7">
        <v>4</v>
      </c>
      <c r="D57" s="7">
        <f t="shared" si="0"/>
        <v>1</v>
      </c>
      <c r="E57" s="8">
        <f t="shared" si="1"/>
        <v>0</v>
      </c>
      <c r="F57" s="5" t="s">
        <v>54</v>
      </c>
      <c r="G57" s="9">
        <v>8</v>
      </c>
      <c r="H57" s="5" t="s">
        <v>23</v>
      </c>
      <c r="I57" s="5" t="s">
        <v>142</v>
      </c>
    </row>
    <row r="58" ht="14.15" spans="1:9">
      <c r="A58" s="5" t="s">
        <v>143</v>
      </c>
      <c r="B58" s="6">
        <v>5</v>
      </c>
      <c r="C58" s="7">
        <v>5</v>
      </c>
      <c r="D58" s="7">
        <f t="shared" si="0"/>
        <v>0</v>
      </c>
      <c r="E58" s="8">
        <f t="shared" si="1"/>
        <v>1</v>
      </c>
      <c r="F58" s="5" t="s">
        <v>39</v>
      </c>
      <c r="G58" s="9">
        <v>8</v>
      </c>
      <c r="H58" s="5" t="s">
        <v>23</v>
      </c>
      <c r="I58" s="5" t="s">
        <v>144</v>
      </c>
    </row>
    <row r="59" ht="14.15" spans="1:9">
      <c r="A59" s="5" t="s">
        <v>145</v>
      </c>
      <c r="B59" s="6">
        <v>3</v>
      </c>
      <c r="C59" s="7">
        <v>3</v>
      </c>
      <c r="D59" s="7">
        <f t="shared" si="0"/>
        <v>0</v>
      </c>
      <c r="E59" s="8">
        <f t="shared" si="1"/>
        <v>1</v>
      </c>
      <c r="F59" s="5" t="s">
        <v>117</v>
      </c>
      <c r="G59" s="9">
        <v>8</v>
      </c>
      <c r="H59" s="5" t="s">
        <v>28</v>
      </c>
      <c r="I59" s="5" t="s">
        <v>146</v>
      </c>
    </row>
    <row r="60" ht="14.15" spans="1:9">
      <c r="A60" s="5" t="s">
        <v>147</v>
      </c>
      <c r="B60" s="6">
        <v>1</v>
      </c>
      <c r="C60" s="7">
        <v>1</v>
      </c>
      <c r="D60" s="7">
        <f t="shared" si="0"/>
        <v>0</v>
      </c>
      <c r="E60" s="8">
        <f t="shared" si="1"/>
        <v>1</v>
      </c>
      <c r="F60" s="5" t="s">
        <v>148</v>
      </c>
      <c r="G60" s="9">
        <v>8</v>
      </c>
      <c r="H60" s="5" t="s">
        <v>149</v>
      </c>
      <c r="I60" s="5" t="s">
        <v>150</v>
      </c>
    </row>
    <row r="61" ht="14.15" spans="1:9">
      <c r="A61" s="5" t="s">
        <v>151</v>
      </c>
      <c r="B61" s="6">
        <v>2</v>
      </c>
      <c r="C61" s="7">
        <v>3</v>
      </c>
      <c r="D61" s="7">
        <f t="shared" si="0"/>
        <v>1</v>
      </c>
      <c r="E61" s="8">
        <f t="shared" si="1"/>
        <v>0</v>
      </c>
      <c r="F61" s="5" t="s">
        <v>17</v>
      </c>
      <c r="G61" s="9">
        <v>8</v>
      </c>
      <c r="H61" s="5" t="s">
        <v>149</v>
      </c>
      <c r="I61" s="5" t="s">
        <v>150</v>
      </c>
    </row>
    <row r="62" ht="14.15" spans="1:9">
      <c r="A62" s="5" t="s">
        <v>152</v>
      </c>
      <c r="B62" s="6">
        <v>5</v>
      </c>
      <c r="C62" s="7">
        <v>5</v>
      </c>
      <c r="D62" s="7">
        <f t="shared" si="0"/>
        <v>0</v>
      </c>
      <c r="E62" s="8">
        <f t="shared" si="1"/>
        <v>1</v>
      </c>
      <c r="F62" s="5" t="s">
        <v>31</v>
      </c>
      <c r="G62" s="9">
        <v>8</v>
      </c>
      <c r="H62" s="5" t="s">
        <v>149</v>
      </c>
      <c r="I62" s="5" t="s">
        <v>150</v>
      </c>
    </row>
    <row r="63" ht="14.15" spans="1:9">
      <c r="A63" s="5" t="s">
        <v>153</v>
      </c>
      <c r="B63" s="6">
        <v>1</v>
      </c>
      <c r="C63" s="7">
        <v>1</v>
      </c>
      <c r="D63" s="7">
        <f t="shared" si="0"/>
        <v>0</v>
      </c>
      <c r="E63" s="8">
        <f t="shared" si="1"/>
        <v>1</v>
      </c>
      <c r="F63" s="5" t="s">
        <v>154</v>
      </c>
      <c r="G63" s="9">
        <v>8</v>
      </c>
      <c r="H63" s="5" t="s">
        <v>149</v>
      </c>
      <c r="I63" s="5" t="s">
        <v>150</v>
      </c>
    </row>
    <row r="64" ht="14.15" spans="1:9">
      <c r="A64" s="5" t="s">
        <v>155</v>
      </c>
      <c r="B64" s="6">
        <v>1</v>
      </c>
      <c r="C64" s="7">
        <v>1</v>
      </c>
      <c r="D64" s="7">
        <f t="shared" si="0"/>
        <v>0</v>
      </c>
      <c r="E64" s="8">
        <f t="shared" si="1"/>
        <v>1</v>
      </c>
      <c r="F64" s="5" t="s">
        <v>148</v>
      </c>
      <c r="G64" s="9">
        <v>8</v>
      </c>
      <c r="H64" s="5" t="s">
        <v>149</v>
      </c>
      <c r="I64" s="5" t="s">
        <v>150</v>
      </c>
    </row>
    <row r="65" ht="14.15" spans="1:9">
      <c r="A65" s="5" t="s">
        <v>156</v>
      </c>
      <c r="B65" s="6">
        <v>4</v>
      </c>
      <c r="C65" s="7">
        <v>4</v>
      </c>
      <c r="D65" s="7">
        <f t="shared" si="0"/>
        <v>0</v>
      </c>
      <c r="E65" s="8">
        <f t="shared" si="1"/>
        <v>1</v>
      </c>
      <c r="F65" s="5" t="s">
        <v>54</v>
      </c>
      <c r="G65" s="9">
        <v>8</v>
      </c>
      <c r="H65" s="5" t="s">
        <v>149</v>
      </c>
      <c r="I65" s="5" t="s">
        <v>150</v>
      </c>
    </row>
    <row r="66" ht="14.15" spans="1:9">
      <c r="A66" s="5" t="s">
        <v>157</v>
      </c>
      <c r="B66" s="6">
        <v>1</v>
      </c>
      <c r="C66" s="7">
        <v>1</v>
      </c>
      <c r="D66" s="7">
        <f t="shared" ref="D66:D129" si="2">IF(B66="","",C66-B66)</f>
        <v>0</v>
      </c>
      <c r="E66" s="8">
        <f t="shared" ref="E66:E129" si="3">IF(B66="","",--(B66=C66))</f>
        <v>1</v>
      </c>
      <c r="F66" s="5" t="s">
        <v>70</v>
      </c>
      <c r="G66" s="9">
        <v>8</v>
      </c>
      <c r="H66" s="5" t="s">
        <v>149</v>
      </c>
      <c r="I66" s="5" t="s">
        <v>150</v>
      </c>
    </row>
    <row r="67" ht="14.15" spans="1:9">
      <c r="A67" s="5" t="s">
        <v>158</v>
      </c>
      <c r="B67" s="6">
        <v>1</v>
      </c>
      <c r="C67" s="7">
        <v>1</v>
      </c>
      <c r="D67" s="7">
        <f t="shared" si="2"/>
        <v>0</v>
      </c>
      <c r="E67" s="8">
        <f t="shared" si="3"/>
        <v>1</v>
      </c>
      <c r="F67" s="5" t="s">
        <v>110</v>
      </c>
      <c r="G67" s="9">
        <v>8</v>
      </c>
      <c r="H67" s="5" t="s">
        <v>149</v>
      </c>
      <c r="I67" s="5" t="s">
        <v>150</v>
      </c>
    </row>
    <row r="68" ht="14.15" spans="1:9">
      <c r="A68" s="5" t="s">
        <v>159</v>
      </c>
      <c r="B68" s="6">
        <v>8</v>
      </c>
      <c r="C68" s="7">
        <v>8</v>
      </c>
      <c r="D68" s="7">
        <f t="shared" si="2"/>
        <v>0</v>
      </c>
      <c r="E68" s="8">
        <f t="shared" si="3"/>
        <v>1</v>
      </c>
      <c r="F68" s="5" t="s">
        <v>160</v>
      </c>
      <c r="G68" s="9">
        <v>6</v>
      </c>
      <c r="H68" s="5" t="s">
        <v>149</v>
      </c>
      <c r="I68" s="5" t="s">
        <v>150</v>
      </c>
    </row>
    <row r="69" ht="14.15" spans="1:9">
      <c r="A69" s="5" t="s">
        <v>161</v>
      </c>
      <c r="B69" s="6">
        <v>8</v>
      </c>
      <c r="C69" s="7">
        <v>8</v>
      </c>
      <c r="D69" s="7">
        <f t="shared" si="2"/>
        <v>0</v>
      </c>
      <c r="E69" s="8">
        <f t="shared" si="3"/>
        <v>1</v>
      </c>
      <c r="F69" s="5" t="s">
        <v>160</v>
      </c>
      <c r="G69" s="9">
        <v>6</v>
      </c>
      <c r="H69" s="5" t="s">
        <v>149</v>
      </c>
      <c r="I69" s="5" t="s">
        <v>150</v>
      </c>
    </row>
    <row r="70" ht="28.3" spans="1:9">
      <c r="A70" s="5" t="s">
        <v>162</v>
      </c>
      <c r="B70" s="6">
        <v>4</v>
      </c>
      <c r="C70" s="7">
        <v>5</v>
      </c>
      <c r="D70" s="7">
        <f t="shared" si="2"/>
        <v>1</v>
      </c>
      <c r="E70" s="8">
        <f t="shared" si="3"/>
        <v>0</v>
      </c>
      <c r="F70" s="5" t="s">
        <v>39</v>
      </c>
      <c r="G70" s="9">
        <v>8</v>
      </c>
      <c r="H70" s="5" t="s">
        <v>163</v>
      </c>
      <c r="I70" s="5" t="s">
        <v>164</v>
      </c>
    </row>
    <row r="71" ht="28.3" spans="1:9">
      <c r="A71" s="5" t="s">
        <v>165</v>
      </c>
      <c r="B71" s="6">
        <v>4</v>
      </c>
      <c r="C71" s="7">
        <v>3</v>
      </c>
      <c r="D71" s="7">
        <f t="shared" si="2"/>
        <v>-1</v>
      </c>
      <c r="E71" s="8">
        <f t="shared" si="3"/>
        <v>0</v>
      </c>
      <c r="F71" s="5" t="s">
        <v>17</v>
      </c>
      <c r="G71" s="9">
        <v>8</v>
      </c>
      <c r="H71" s="5" t="s">
        <v>163</v>
      </c>
      <c r="I71" s="5" t="s">
        <v>166</v>
      </c>
    </row>
    <row r="72" ht="28.3" spans="1:9">
      <c r="A72" s="5" t="s">
        <v>167</v>
      </c>
      <c r="B72" s="6">
        <v>4</v>
      </c>
      <c r="C72" s="7">
        <v>4</v>
      </c>
      <c r="D72" s="7">
        <f t="shared" si="2"/>
        <v>0</v>
      </c>
      <c r="E72" s="8">
        <f t="shared" si="3"/>
        <v>1</v>
      </c>
      <c r="F72" s="5" t="s">
        <v>54</v>
      </c>
      <c r="G72" s="9">
        <v>8</v>
      </c>
      <c r="H72" s="5" t="s">
        <v>163</v>
      </c>
      <c r="I72" s="5" t="s">
        <v>168</v>
      </c>
    </row>
    <row r="73" ht="28.3" spans="1:9">
      <c r="A73" s="5" t="s">
        <v>169</v>
      </c>
      <c r="B73" s="6">
        <v>3</v>
      </c>
      <c r="C73" s="7">
        <v>3</v>
      </c>
      <c r="D73" s="7">
        <f t="shared" si="2"/>
        <v>0</v>
      </c>
      <c r="E73" s="8">
        <f t="shared" si="3"/>
        <v>1</v>
      </c>
      <c r="F73" s="5" t="s">
        <v>117</v>
      </c>
      <c r="G73" s="9">
        <v>8</v>
      </c>
      <c r="H73" s="5" t="s">
        <v>163</v>
      </c>
      <c r="I73" s="5" t="s">
        <v>170</v>
      </c>
    </row>
    <row r="74" ht="28.3" spans="1:9">
      <c r="A74" s="5" t="s">
        <v>171</v>
      </c>
      <c r="B74" s="6">
        <v>3</v>
      </c>
      <c r="C74" s="7">
        <v>4</v>
      </c>
      <c r="D74" s="7">
        <f t="shared" si="2"/>
        <v>1</v>
      </c>
      <c r="E74" s="8">
        <f t="shared" si="3"/>
        <v>0</v>
      </c>
      <c r="F74" s="5" t="s">
        <v>172</v>
      </c>
      <c r="G74" s="9">
        <v>8</v>
      </c>
      <c r="H74" s="5" t="s">
        <v>163</v>
      </c>
      <c r="I74" s="5" t="s">
        <v>173</v>
      </c>
    </row>
    <row r="75" ht="28.3" spans="1:9">
      <c r="A75" s="5" t="s">
        <v>174</v>
      </c>
      <c r="B75" s="6">
        <v>5</v>
      </c>
      <c r="C75" s="7">
        <v>4</v>
      </c>
      <c r="D75" s="7">
        <f t="shared" si="2"/>
        <v>-1</v>
      </c>
      <c r="E75" s="8">
        <f t="shared" si="3"/>
        <v>0</v>
      </c>
      <c r="F75" s="5" t="s">
        <v>49</v>
      </c>
      <c r="G75" s="9">
        <v>8</v>
      </c>
      <c r="H75" s="5" t="s">
        <v>163</v>
      </c>
      <c r="I75" s="5" t="s">
        <v>175</v>
      </c>
    </row>
    <row r="76" ht="28.3" spans="1:9">
      <c r="A76" s="5" t="s">
        <v>176</v>
      </c>
      <c r="B76" s="6">
        <v>4</v>
      </c>
      <c r="C76" s="7">
        <v>4</v>
      </c>
      <c r="D76" s="7">
        <f t="shared" si="2"/>
        <v>0</v>
      </c>
      <c r="E76" s="8">
        <f t="shared" si="3"/>
        <v>1</v>
      </c>
      <c r="F76" s="5" t="s">
        <v>54</v>
      </c>
      <c r="G76" s="9">
        <v>8</v>
      </c>
      <c r="H76" s="5" t="s">
        <v>163</v>
      </c>
      <c r="I76" s="5" t="s">
        <v>177</v>
      </c>
    </row>
    <row r="77" ht="28.3" spans="1:9">
      <c r="A77" s="5" t="s">
        <v>178</v>
      </c>
      <c r="B77" s="6">
        <v>5</v>
      </c>
      <c r="C77" s="7">
        <v>5</v>
      </c>
      <c r="D77" s="7">
        <f t="shared" si="2"/>
        <v>0</v>
      </c>
      <c r="E77" s="8">
        <f t="shared" si="3"/>
        <v>1</v>
      </c>
      <c r="F77" s="5" t="s">
        <v>31</v>
      </c>
      <c r="G77" s="9">
        <v>8</v>
      </c>
      <c r="H77" s="5" t="s">
        <v>163</v>
      </c>
      <c r="I77" s="5" t="s">
        <v>179</v>
      </c>
    </row>
    <row r="78" ht="28.3" spans="1:9">
      <c r="A78" s="5" t="s">
        <v>180</v>
      </c>
      <c r="B78" s="6">
        <v>4</v>
      </c>
      <c r="C78" s="7">
        <v>6</v>
      </c>
      <c r="D78" s="7">
        <f t="shared" si="2"/>
        <v>2</v>
      </c>
      <c r="E78" s="8">
        <f t="shared" si="3"/>
        <v>0</v>
      </c>
      <c r="F78" s="5" t="s">
        <v>181</v>
      </c>
      <c r="G78" s="9">
        <v>8</v>
      </c>
      <c r="H78" s="5" t="s">
        <v>163</v>
      </c>
      <c r="I78" s="5" t="s">
        <v>182</v>
      </c>
    </row>
    <row r="79" ht="28.3" spans="1:9">
      <c r="A79" s="5" t="s">
        <v>183</v>
      </c>
      <c r="B79" s="6">
        <v>4</v>
      </c>
      <c r="C79" s="7">
        <v>3</v>
      </c>
      <c r="D79" s="7">
        <f t="shared" si="2"/>
        <v>-1</v>
      </c>
      <c r="E79" s="8">
        <f t="shared" si="3"/>
        <v>0</v>
      </c>
      <c r="F79" s="5" t="s">
        <v>73</v>
      </c>
      <c r="G79" s="9">
        <v>8</v>
      </c>
      <c r="H79" s="5" t="s">
        <v>163</v>
      </c>
      <c r="I79" s="5" t="s">
        <v>184</v>
      </c>
    </row>
    <row r="80" ht="28.3" spans="1:9">
      <c r="A80" s="5" t="s">
        <v>185</v>
      </c>
      <c r="B80" s="6">
        <v>4</v>
      </c>
      <c r="C80" s="7">
        <v>5</v>
      </c>
      <c r="D80" s="7">
        <f t="shared" si="2"/>
        <v>1</v>
      </c>
      <c r="E80" s="8">
        <f t="shared" si="3"/>
        <v>0</v>
      </c>
      <c r="F80" s="5" t="s">
        <v>186</v>
      </c>
      <c r="G80" s="9">
        <v>8</v>
      </c>
      <c r="H80" s="5" t="s">
        <v>163</v>
      </c>
      <c r="I80" s="5" t="s">
        <v>187</v>
      </c>
    </row>
    <row r="81" ht="28.3" spans="1:9">
      <c r="A81" s="5" t="s">
        <v>188</v>
      </c>
      <c r="B81" s="6">
        <v>4</v>
      </c>
      <c r="C81" s="7">
        <v>5</v>
      </c>
      <c r="D81" s="7">
        <f t="shared" si="2"/>
        <v>1</v>
      </c>
      <c r="E81" s="8">
        <f t="shared" si="3"/>
        <v>0</v>
      </c>
      <c r="F81" s="5" t="s">
        <v>31</v>
      </c>
      <c r="G81" s="9">
        <v>8</v>
      </c>
      <c r="H81" s="5" t="s">
        <v>163</v>
      </c>
      <c r="I81" s="5" t="s">
        <v>189</v>
      </c>
    </row>
    <row r="82" ht="28.3" spans="1:9">
      <c r="A82" s="5" t="s">
        <v>190</v>
      </c>
      <c r="B82" s="6">
        <v>4</v>
      </c>
      <c r="C82" s="7">
        <v>4</v>
      </c>
      <c r="D82" s="7">
        <f t="shared" si="2"/>
        <v>0</v>
      </c>
      <c r="E82" s="8">
        <f t="shared" si="3"/>
        <v>1</v>
      </c>
      <c r="F82" s="5" t="s">
        <v>49</v>
      </c>
      <c r="G82" s="9">
        <v>8</v>
      </c>
      <c r="H82" s="5" t="s">
        <v>163</v>
      </c>
      <c r="I82" s="5" t="s">
        <v>191</v>
      </c>
    </row>
    <row r="83" ht="28.3" spans="1:9">
      <c r="A83" s="5" t="s">
        <v>192</v>
      </c>
      <c r="B83" s="6">
        <v>4</v>
      </c>
      <c r="C83" s="7">
        <v>4</v>
      </c>
      <c r="D83" s="7">
        <f t="shared" si="2"/>
        <v>0</v>
      </c>
      <c r="E83" s="8">
        <f t="shared" si="3"/>
        <v>1</v>
      </c>
      <c r="F83" s="5" t="s">
        <v>54</v>
      </c>
      <c r="G83" s="9">
        <v>8</v>
      </c>
      <c r="H83" s="5" t="s">
        <v>163</v>
      </c>
      <c r="I83" s="5" t="s">
        <v>193</v>
      </c>
    </row>
    <row r="84" ht="28.3" spans="1:9">
      <c r="A84" s="5" t="s">
        <v>194</v>
      </c>
      <c r="B84" s="6">
        <v>4</v>
      </c>
      <c r="C84" s="7">
        <v>4</v>
      </c>
      <c r="D84" s="7">
        <f t="shared" si="2"/>
        <v>0</v>
      </c>
      <c r="E84" s="8">
        <f t="shared" si="3"/>
        <v>1</v>
      </c>
      <c r="F84" s="5" t="s">
        <v>54</v>
      </c>
      <c r="G84" s="9">
        <v>8</v>
      </c>
      <c r="H84" s="5" t="s">
        <v>163</v>
      </c>
      <c r="I84" s="5" t="s">
        <v>195</v>
      </c>
    </row>
    <row r="85" ht="28.3" spans="1:9">
      <c r="A85" s="5" t="s">
        <v>196</v>
      </c>
      <c r="B85" s="6">
        <v>6</v>
      </c>
      <c r="C85" s="7">
        <v>6</v>
      </c>
      <c r="D85" s="7">
        <f t="shared" si="2"/>
        <v>0</v>
      </c>
      <c r="E85" s="8">
        <f t="shared" si="3"/>
        <v>1</v>
      </c>
      <c r="F85" s="5" t="s">
        <v>22</v>
      </c>
      <c r="G85" s="9">
        <v>8</v>
      </c>
      <c r="H85" s="5" t="s">
        <v>163</v>
      </c>
      <c r="I85" s="5" t="s">
        <v>197</v>
      </c>
    </row>
    <row r="86" ht="28.3" spans="1:9">
      <c r="A86" s="5" t="s">
        <v>198</v>
      </c>
      <c r="B86" s="6">
        <v>6</v>
      </c>
      <c r="C86" s="7">
        <v>7</v>
      </c>
      <c r="D86" s="7">
        <f t="shared" si="2"/>
        <v>1</v>
      </c>
      <c r="E86" s="8">
        <f t="shared" si="3"/>
        <v>0</v>
      </c>
      <c r="F86" s="5" t="s">
        <v>199</v>
      </c>
      <c r="G86" s="9">
        <v>64</v>
      </c>
      <c r="H86" s="5" t="s">
        <v>163</v>
      </c>
      <c r="I86" s="5" t="s">
        <v>200</v>
      </c>
    </row>
    <row r="87" ht="28.3" spans="1:9">
      <c r="A87" s="5" t="s">
        <v>201</v>
      </c>
      <c r="B87" s="6">
        <v>3</v>
      </c>
      <c r="C87" s="7">
        <v>4</v>
      </c>
      <c r="D87" s="7">
        <f t="shared" si="2"/>
        <v>1</v>
      </c>
      <c r="E87" s="8">
        <f t="shared" si="3"/>
        <v>0</v>
      </c>
      <c r="F87" s="5" t="s">
        <v>202</v>
      </c>
      <c r="G87" s="9">
        <v>8</v>
      </c>
      <c r="H87" s="5" t="s">
        <v>163</v>
      </c>
      <c r="I87" s="5" t="s">
        <v>203</v>
      </c>
    </row>
    <row r="88" ht="28.3" spans="1:9">
      <c r="A88" s="5" t="s">
        <v>204</v>
      </c>
      <c r="B88" s="6">
        <v>8</v>
      </c>
      <c r="C88" s="7">
        <v>10</v>
      </c>
      <c r="D88" s="7">
        <f t="shared" si="2"/>
        <v>2</v>
      </c>
      <c r="E88" s="8">
        <f t="shared" si="3"/>
        <v>0</v>
      </c>
      <c r="F88" s="5" t="s">
        <v>205</v>
      </c>
      <c r="G88" s="9">
        <v>102</v>
      </c>
      <c r="H88" s="5" t="s">
        <v>163</v>
      </c>
      <c r="I88" s="5" t="s">
        <v>206</v>
      </c>
    </row>
    <row r="89" ht="28.3" spans="1:9">
      <c r="A89" s="5" t="s">
        <v>207</v>
      </c>
      <c r="B89" s="6">
        <v>1</v>
      </c>
      <c r="C89" s="7">
        <v>1</v>
      </c>
      <c r="D89" s="7">
        <f t="shared" si="2"/>
        <v>0</v>
      </c>
      <c r="E89" s="8">
        <f t="shared" si="3"/>
        <v>1</v>
      </c>
      <c r="F89" s="5" t="s">
        <v>70</v>
      </c>
      <c r="G89" s="9">
        <v>39</v>
      </c>
      <c r="H89" s="5" t="s">
        <v>163</v>
      </c>
      <c r="I89" s="5" t="s">
        <v>208</v>
      </c>
    </row>
    <row r="90" ht="28.3" spans="1:9">
      <c r="A90" s="5" t="s">
        <v>209</v>
      </c>
      <c r="B90" s="6">
        <v>2</v>
      </c>
      <c r="C90" s="7">
        <v>2</v>
      </c>
      <c r="D90" s="7">
        <f t="shared" si="2"/>
        <v>0</v>
      </c>
      <c r="E90" s="8">
        <f t="shared" si="3"/>
        <v>1</v>
      </c>
      <c r="F90" s="5" t="s">
        <v>64</v>
      </c>
      <c r="G90" s="9">
        <v>7</v>
      </c>
      <c r="H90" s="5" t="s">
        <v>163</v>
      </c>
      <c r="I90" s="5" t="s">
        <v>210</v>
      </c>
    </row>
    <row r="91" ht="28.3" spans="1:9">
      <c r="A91" s="5" t="s">
        <v>211</v>
      </c>
      <c r="B91" s="6">
        <v>1</v>
      </c>
      <c r="C91" s="7">
        <v>4</v>
      </c>
      <c r="D91" s="7">
        <f t="shared" si="2"/>
        <v>3</v>
      </c>
      <c r="E91" s="8">
        <f t="shared" si="3"/>
        <v>0</v>
      </c>
      <c r="F91" s="5" t="s">
        <v>212</v>
      </c>
      <c r="G91" s="9">
        <v>54</v>
      </c>
      <c r="H91" s="5" t="s">
        <v>163</v>
      </c>
      <c r="I91" s="5" t="s">
        <v>213</v>
      </c>
    </row>
    <row r="92" ht="28.3" spans="1:9">
      <c r="A92" s="5" t="s">
        <v>214</v>
      </c>
      <c r="B92" s="6">
        <v>3</v>
      </c>
      <c r="C92" s="7">
        <v>3</v>
      </c>
      <c r="D92" s="7">
        <f t="shared" si="2"/>
        <v>0</v>
      </c>
      <c r="E92" s="8">
        <f t="shared" si="3"/>
        <v>1</v>
      </c>
      <c r="F92" s="5" t="s">
        <v>73</v>
      </c>
      <c r="G92" s="9">
        <v>8</v>
      </c>
      <c r="H92" s="5" t="s">
        <v>163</v>
      </c>
      <c r="I92" s="5" t="s">
        <v>164</v>
      </c>
    </row>
    <row r="93" ht="28.3" spans="1:9">
      <c r="A93" s="5" t="s">
        <v>215</v>
      </c>
      <c r="B93" s="6">
        <v>5</v>
      </c>
      <c r="C93" s="7">
        <v>4</v>
      </c>
      <c r="D93" s="7">
        <f t="shared" si="2"/>
        <v>-1</v>
      </c>
      <c r="E93" s="8">
        <f t="shared" si="3"/>
        <v>0</v>
      </c>
      <c r="F93" s="5" t="s">
        <v>216</v>
      </c>
      <c r="G93" s="9">
        <v>8</v>
      </c>
      <c r="H93" s="5" t="s">
        <v>163</v>
      </c>
      <c r="I93" s="5" t="s">
        <v>166</v>
      </c>
    </row>
    <row r="94" ht="28.3" spans="1:9">
      <c r="A94" s="5" t="s">
        <v>217</v>
      </c>
      <c r="B94" s="6">
        <v>3</v>
      </c>
      <c r="C94" s="7">
        <v>6</v>
      </c>
      <c r="D94" s="7">
        <f t="shared" si="2"/>
        <v>3</v>
      </c>
      <c r="E94" s="8">
        <f t="shared" si="3"/>
        <v>0</v>
      </c>
      <c r="F94" s="5" t="s">
        <v>36</v>
      </c>
      <c r="G94" s="9">
        <v>8</v>
      </c>
      <c r="H94" s="5" t="s">
        <v>163</v>
      </c>
      <c r="I94" s="5" t="s">
        <v>168</v>
      </c>
    </row>
    <row r="95" ht="28.3" spans="1:9">
      <c r="A95" s="5" t="s">
        <v>218</v>
      </c>
      <c r="B95" s="6">
        <v>1</v>
      </c>
      <c r="C95" s="7">
        <v>2</v>
      </c>
      <c r="D95" s="7">
        <f t="shared" si="2"/>
        <v>1</v>
      </c>
      <c r="E95" s="8">
        <f t="shared" si="3"/>
        <v>0</v>
      </c>
      <c r="F95" s="5" t="s">
        <v>87</v>
      </c>
      <c r="G95" s="9">
        <v>8</v>
      </c>
      <c r="H95" s="5" t="s">
        <v>163</v>
      </c>
      <c r="I95" s="5" t="s">
        <v>170</v>
      </c>
    </row>
    <row r="96" ht="28.3" spans="1:9">
      <c r="A96" s="5" t="s">
        <v>219</v>
      </c>
      <c r="B96" s="6">
        <v>2</v>
      </c>
      <c r="C96" s="7">
        <v>2</v>
      </c>
      <c r="D96" s="7">
        <f t="shared" si="2"/>
        <v>0</v>
      </c>
      <c r="E96" s="8">
        <f t="shared" si="3"/>
        <v>1</v>
      </c>
      <c r="F96" s="5" t="s">
        <v>64</v>
      </c>
      <c r="G96" s="9">
        <v>8</v>
      </c>
      <c r="H96" s="5" t="s">
        <v>163</v>
      </c>
      <c r="I96" s="5" t="s">
        <v>173</v>
      </c>
    </row>
    <row r="97" ht="28.3" spans="1:9">
      <c r="A97" s="5" t="s">
        <v>220</v>
      </c>
      <c r="B97" s="6">
        <v>5</v>
      </c>
      <c r="C97" s="7">
        <v>5</v>
      </c>
      <c r="D97" s="7">
        <f t="shared" si="2"/>
        <v>0</v>
      </c>
      <c r="E97" s="8">
        <f t="shared" si="3"/>
        <v>1</v>
      </c>
      <c r="F97" s="5" t="s">
        <v>31</v>
      </c>
      <c r="G97" s="9">
        <v>8</v>
      </c>
      <c r="H97" s="5" t="s">
        <v>163</v>
      </c>
      <c r="I97" s="5" t="s">
        <v>175</v>
      </c>
    </row>
    <row r="98" ht="28.3" spans="1:9">
      <c r="A98" s="5" t="s">
        <v>221</v>
      </c>
      <c r="B98" s="6">
        <v>5</v>
      </c>
      <c r="C98" s="7">
        <v>6</v>
      </c>
      <c r="D98" s="7">
        <f t="shared" si="2"/>
        <v>1</v>
      </c>
      <c r="E98" s="8">
        <f t="shared" si="3"/>
        <v>0</v>
      </c>
      <c r="F98" s="5" t="s">
        <v>222</v>
      </c>
      <c r="G98" s="9">
        <v>8</v>
      </c>
      <c r="H98" s="5" t="s">
        <v>163</v>
      </c>
      <c r="I98" s="5" t="s">
        <v>177</v>
      </c>
    </row>
    <row r="99" ht="28.3" spans="1:9">
      <c r="A99" s="5" t="s">
        <v>223</v>
      </c>
      <c r="B99" s="6">
        <v>5</v>
      </c>
      <c r="C99" s="7">
        <v>5</v>
      </c>
      <c r="D99" s="7">
        <f t="shared" si="2"/>
        <v>0</v>
      </c>
      <c r="E99" s="8">
        <f t="shared" si="3"/>
        <v>1</v>
      </c>
      <c r="F99" s="5" t="s">
        <v>31</v>
      </c>
      <c r="G99" s="9">
        <v>8</v>
      </c>
      <c r="H99" s="5" t="s">
        <v>163</v>
      </c>
      <c r="I99" s="5" t="s">
        <v>184</v>
      </c>
    </row>
    <row r="100" ht="28.3" spans="1:9">
      <c r="A100" s="5" t="s">
        <v>224</v>
      </c>
      <c r="B100" s="6">
        <v>5</v>
      </c>
      <c r="C100" s="7">
        <v>5</v>
      </c>
      <c r="D100" s="7">
        <f t="shared" si="2"/>
        <v>0</v>
      </c>
      <c r="E100" s="8">
        <f t="shared" si="3"/>
        <v>1</v>
      </c>
      <c r="F100" s="5" t="s">
        <v>39</v>
      </c>
      <c r="G100" s="9">
        <v>8</v>
      </c>
      <c r="H100" s="5" t="s">
        <v>163</v>
      </c>
      <c r="I100" s="5" t="s">
        <v>187</v>
      </c>
    </row>
    <row r="101" ht="28.3" spans="1:9">
      <c r="A101" s="5" t="s">
        <v>225</v>
      </c>
      <c r="B101" s="6">
        <v>7</v>
      </c>
      <c r="C101" s="7">
        <v>7</v>
      </c>
      <c r="D101" s="7">
        <f t="shared" si="2"/>
        <v>0</v>
      </c>
      <c r="E101" s="8">
        <f t="shared" si="3"/>
        <v>1</v>
      </c>
      <c r="F101" s="5" t="s">
        <v>226</v>
      </c>
      <c r="G101" s="9">
        <v>8</v>
      </c>
      <c r="H101" s="5" t="s">
        <v>163</v>
      </c>
      <c r="I101" s="5" t="s">
        <v>191</v>
      </c>
    </row>
    <row r="102" ht="28.3" spans="1:9">
      <c r="A102" s="5" t="s">
        <v>227</v>
      </c>
      <c r="B102" s="6">
        <v>5</v>
      </c>
      <c r="C102" s="7">
        <v>5</v>
      </c>
      <c r="D102" s="7">
        <f t="shared" si="2"/>
        <v>0</v>
      </c>
      <c r="E102" s="8">
        <f t="shared" si="3"/>
        <v>1</v>
      </c>
      <c r="F102" s="5" t="s">
        <v>31</v>
      </c>
      <c r="G102" s="9">
        <v>8</v>
      </c>
      <c r="H102" s="5" t="s">
        <v>163</v>
      </c>
      <c r="I102" s="5" t="s">
        <v>193</v>
      </c>
    </row>
    <row r="103" ht="28.3" spans="1:9">
      <c r="A103" s="5" t="s">
        <v>228</v>
      </c>
      <c r="B103" s="6">
        <v>2</v>
      </c>
      <c r="C103" s="7">
        <v>2</v>
      </c>
      <c r="D103" s="7">
        <f t="shared" si="2"/>
        <v>0</v>
      </c>
      <c r="E103" s="8">
        <f t="shared" si="3"/>
        <v>1</v>
      </c>
      <c r="F103" s="5" t="s">
        <v>64</v>
      </c>
      <c r="G103" s="9">
        <v>8</v>
      </c>
      <c r="H103" s="5" t="s">
        <v>163</v>
      </c>
      <c r="I103" s="5" t="s">
        <v>197</v>
      </c>
    </row>
    <row r="104" ht="28.3" spans="1:9">
      <c r="A104" s="5" t="s">
        <v>229</v>
      </c>
      <c r="B104" s="6">
        <v>6</v>
      </c>
      <c r="C104" s="7">
        <v>6</v>
      </c>
      <c r="D104" s="7">
        <f t="shared" si="2"/>
        <v>0</v>
      </c>
      <c r="E104" s="8">
        <f t="shared" si="3"/>
        <v>1</v>
      </c>
      <c r="F104" s="5" t="s">
        <v>22</v>
      </c>
      <c r="G104" s="9">
        <v>63</v>
      </c>
      <c r="H104" s="5" t="s">
        <v>163</v>
      </c>
      <c r="I104" s="5" t="s">
        <v>200</v>
      </c>
    </row>
    <row r="105" ht="28.3" spans="1:9">
      <c r="A105" s="5" t="s">
        <v>230</v>
      </c>
      <c r="B105" s="6">
        <v>4</v>
      </c>
      <c r="C105" s="7">
        <v>4</v>
      </c>
      <c r="D105" s="7">
        <f t="shared" si="2"/>
        <v>0</v>
      </c>
      <c r="E105" s="8">
        <f t="shared" si="3"/>
        <v>1</v>
      </c>
      <c r="F105" s="5" t="s">
        <v>54</v>
      </c>
      <c r="G105" s="9">
        <v>8</v>
      </c>
      <c r="H105" s="5" t="s">
        <v>163</v>
      </c>
      <c r="I105" s="5" t="s">
        <v>203</v>
      </c>
    </row>
    <row r="106" ht="28.3" spans="1:9">
      <c r="A106" s="5" t="s">
        <v>231</v>
      </c>
      <c r="B106" s="6">
        <v>4</v>
      </c>
      <c r="C106" s="7">
        <v>4</v>
      </c>
      <c r="D106" s="7">
        <f t="shared" si="2"/>
        <v>0</v>
      </c>
      <c r="E106" s="8">
        <f t="shared" si="3"/>
        <v>1</v>
      </c>
      <c r="F106" s="5" t="s">
        <v>49</v>
      </c>
      <c r="G106" s="9">
        <v>101</v>
      </c>
      <c r="H106" s="5" t="s">
        <v>163</v>
      </c>
      <c r="I106" s="5" t="s">
        <v>206</v>
      </c>
    </row>
    <row r="107" ht="28.3" spans="1:9">
      <c r="A107" s="5" t="s">
        <v>232</v>
      </c>
      <c r="B107" s="6">
        <v>1</v>
      </c>
      <c r="C107" s="7">
        <v>1</v>
      </c>
      <c r="D107" s="7">
        <f t="shared" si="2"/>
        <v>0</v>
      </c>
      <c r="E107" s="8">
        <f t="shared" si="3"/>
        <v>1</v>
      </c>
      <c r="F107" s="5" t="s">
        <v>110</v>
      </c>
      <c r="G107" s="9">
        <v>41</v>
      </c>
      <c r="H107" s="5" t="s">
        <v>163</v>
      </c>
      <c r="I107" s="5" t="s">
        <v>208</v>
      </c>
    </row>
    <row r="108" ht="28.3" spans="1:9">
      <c r="A108" s="5" t="s">
        <v>233</v>
      </c>
      <c r="B108" s="6">
        <v>2</v>
      </c>
      <c r="C108" s="7">
        <v>2</v>
      </c>
      <c r="D108" s="7">
        <f t="shared" si="2"/>
        <v>0</v>
      </c>
      <c r="E108" s="8">
        <f t="shared" si="3"/>
        <v>1</v>
      </c>
      <c r="F108" s="5" t="s">
        <v>64</v>
      </c>
      <c r="G108" s="9">
        <v>13</v>
      </c>
      <c r="H108" s="5" t="s">
        <v>163</v>
      </c>
      <c r="I108" s="5" t="s">
        <v>210</v>
      </c>
    </row>
    <row r="109" ht="28.3" spans="1:9">
      <c r="A109" s="5" t="s">
        <v>234</v>
      </c>
      <c r="B109" s="6">
        <v>2</v>
      </c>
      <c r="C109" s="7">
        <v>2</v>
      </c>
      <c r="D109" s="7">
        <f t="shared" si="2"/>
        <v>0</v>
      </c>
      <c r="E109" s="8">
        <f t="shared" si="3"/>
        <v>1</v>
      </c>
      <c r="F109" s="5" t="s">
        <v>235</v>
      </c>
      <c r="G109" s="9">
        <v>54</v>
      </c>
      <c r="H109" s="5" t="s">
        <v>163</v>
      </c>
      <c r="I109" s="5" t="s">
        <v>213</v>
      </c>
    </row>
    <row r="110" ht="28.3" spans="1:9">
      <c r="A110" s="5" t="s">
        <v>236</v>
      </c>
      <c r="B110" s="6">
        <v>4</v>
      </c>
      <c r="C110" s="7">
        <v>4</v>
      </c>
      <c r="D110" s="7">
        <f t="shared" si="2"/>
        <v>0</v>
      </c>
      <c r="E110" s="8">
        <f t="shared" si="3"/>
        <v>1</v>
      </c>
      <c r="F110" s="5" t="s">
        <v>237</v>
      </c>
      <c r="G110" s="9">
        <v>8</v>
      </c>
      <c r="H110" s="5" t="s">
        <v>163</v>
      </c>
      <c r="I110" s="5" t="s">
        <v>164</v>
      </c>
    </row>
    <row r="111" ht="28.3" spans="1:9">
      <c r="A111" s="5" t="s">
        <v>238</v>
      </c>
      <c r="B111" s="6">
        <v>2</v>
      </c>
      <c r="C111" s="7">
        <v>2</v>
      </c>
      <c r="D111" s="7">
        <f t="shared" si="2"/>
        <v>0</v>
      </c>
      <c r="E111" s="8">
        <f t="shared" si="3"/>
        <v>1</v>
      </c>
      <c r="F111" s="5" t="s">
        <v>15</v>
      </c>
      <c r="G111" s="9">
        <v>8</v>
      </c>
      <c r="H111" s="5" t="s">
        <v>163</v>
      </c>
      <c r="I111" s="5" t="s">
        <v>166</v>
      </c>
    </row>
    <row r="112" ht="28.3" spans="1:9">
      <c r="A112" s="5" t="s">
        <v>239</v>
      </c>
      <c r="B112" s="6">
        <v>2</v>
      </c>
      <c r="C112" s="7">
        <v>1</v>
      </c>
      <c r="D112" s="7">
        <f t="shared" si="2"/>
        <v>-1</v>
      </c>
      <c r="E112" s="8">
        <f t="shared" si="3"/>
        <v>0</v>
      </c>
      <c r="F112" s="5" t="s">
        <v>110</v>
      </c>
      <c r="G112" s="9">
        <v>8</v>
      </c>
      <c r="H112" s="5" t="s">
        <v>163</v>
      </c>
      <c r="I112" s="5" t="s">
        <v>168</v>
      </c>
    </row>
    <row r="113" ht="28.3" spans="1:9">
      <c r="A113" s="5" t="s">
        <v>240</v>
      </c>
      <c r="B113" s="6">
        <v>2</v>
      </c>
      <c r="C113" s="7">
        <v>2</v>
      </c>
      <c r="D113" s="7">
        <f t="shared" si="2"/>
        <v>0</v>
      </c>
      <c r="E113" s="8">
        <f t="shared" si="3"/>
        <v>1</v>
      </c>
      <c r="F113" s="5" t="s">
        <v>15</v>
      </c>
      <c r="G113" s="9">
        <v>8</v>
      </c>
      <c r="H113" s="5" t="s">
        <v>163</v>
      </c>
      <c r="I113" s="5" t="s">
        <v>170</v>
      </c>
    </row>
    <row r="114" ht="28.3" spans="1:9">
      <c r="A114" s="5" t="s">
        <v>241</v>
      </c>
      <c r="B114" s="6">
        <v>2</v>
      </c>
      <c r="C114" s="7">
        <v>2</v>
      </c>
      <c r="D114" s="7">
        <f t="shared" si="2"/>
        <v>0</v>
      </c>
      <c r="E114" s="8">
        <f t="shared" si="3"/>
        <v>1</v>
      </c>
      <c r="F114" s="5" t="s">
        <v>87</v>
      </c>
      <c r="G114" s="9">
        <v>8</v>
      </c>
      <c r="H114" s="5" t="s">
        <v>163</v>
      </c>
      <c r="I114" s="5" t="s">
        <v>173</v>
      </c>
    </row>
    <row r="115" ht="28.3" spans="1:9">
      <c r="A115" s="5" t="s">
        <v>242</v>
      </c>
      <c r="B115" s="6">
        <v>5</v>
      </c>
      <c r="C115" s="7">
        <v>5</v>
      </c>
      <c r="D115" s="7">
        <f t="shared" si="2"/>
        <v>0</v>
      </c>
      <c r="E115" s="8">
        <f t="shared" si="3"/>
        <v>1</v>
      </c>
      <c r="F115" s="5" t="s">
        <v>31</v>
      </c>
      <c r="G115" s="9">
        <v>8</v>
      </c>
      <c r="H115" s="5" t="s">
        <v>163</v>
      </c>
      <c r="I115" s="5" t="s">
        <v>177</v>
      </c>
    </row>
    <row r="116" ht="28.3" spans="1:9">
      <c r="A116" s="5" t="s">
        <v>243</v>
      </c>
      <c r="B116" s="6">
        <v>5</v>
      </c>
      <c r="C116" s="7">
        <v>5</v>
      </c>
      <c r="D116" s="7">
        <f t="shared" si="2"/>
        <v>0</v>
      </c>
      <c r="E116" s="8">
        <f t="shared" si="3"/>
        <v>1</v>
      </c>
      <c r="F116" s="5" t="s">
        <v>39</v>
      </c>
      <c r="G116" s="9">
        <v>8</v>
      </c>
      <c r="H116" s="5" t="s">
        <v>163</v>
      </c>
      <c r="I116" s="5" t="s">
        <v>187</v>
      </c>
    </row>
    <row r="117" ht="28.3" spans="1:9">
      <c r="A117" s="5" t="s">
        <v>244</v>
      </c>
      <c r="B117" s="6">
        <v>5</v>
      </c>
      <c r="C117" s="7">
        <v>5</v>
      </c>
      <c r="D117" s="7">
        <f t="shared" si="2"/>
        <v>0</v>
      </c>
      <c r="E117" s="8">
        <f t="shared" si="3"/>
        <v>1</v>
      </c>
      <c r="F117" s="5" t="s">
        <v>31</v>
      </c>
      <c r="G117" s="9">
        <v>8</v>
      </c>
      <c r="H117" s="5" t="s">
        <v>163</v>
      </c>
      <c r="I117" s="5" t="s">
        <v>191</v>
      </c>
    </row>
    <row r="118" ht="28.3" spans="1:9">
      <c r="A118" s="5" t="s">
        <v>245</v>
      </c>
      <c r="B118" s="6">
        <v>4</v>
      </c>
      <c r="C118" s="7">
        <v>4</v>
      </c>
      <c r="D118" s="7">
        <f t="shared" si="2"/>
        <v>0</v>
      </c>
      <c r="E118" s="8">
        <f t="shared" si="3"/>
        <v>1</v>
      </c>
      <c r="F118" s="5" t="s">
        <v>49</v>
      </c>
      <c r="G118" s="9">
        <v>8</v>
      </c>
      <c r="H118" s="5" t="s">
        <v>163</v>
      </c>
      <c r="I118" s="5" t="s">
        <v>193</v>
      </c>
    </row>
    <row r="119" ht="28.3" spans="1:9">
      <c r="A119" s="5" t="s">
        <v>246</v>
      </c>
      <c r="B119" s="6">
        <v>5</v>
      </c>
      <c r="C119" s="7">
        <v>5</v>
      </c>
      <c r="D119" s="7">
        <f t="shared" si="2"/>
        <v>0</v>
      </c>
      <c r="E119" s="8">
        <f t="shared" si="3"/>
        <v>1</v>
      </c>
      <c r="F119" s="5" t="s">
        <v>39</v>
      </c>
      <c r="G119" s="9">
        <v>8</v>
      </c>
      <c r="H119" s="5" t="s">
        <v>163</v>
      </c>
      <c r="I119" s="5" t="s">
        <v>197</v>
      </c>
    </row>
    <row r="120" ht="28.3" spans="1:9">
      <c r="A120" s="5" t="s">
        <v>247</v>
      </c>
      <c r="B120" s="6">
        <v>6</v>
      </c>
      <c r="C120" s="7">
        <v>6</v>
      </c>
      <c r="D120" s="7">
        <f t="shared" si="2"/>
        <v>0</v>
      </c>
      <c r="E120" s="8">
        <f t="shared" si="3"/>
        <v>1</v>
      </c>
      <c r="F120" s="5" t="s">
        <v>22</v>
      </c>
      <c r="G120" s="9">
        <v>64</v>
      </c>
      <c r="H120" s="5" t="s">
        <v>163</v>
      </c>
      <c r="I120" s="5" t="s">
        <v>200</v>
      </c>
    </row>
    <row r="121" ht="28.3" spans="1:9">
      <c r="A121" s="5" t="s">
        <v>248</v>
      </c>
      <c r="B121" s="6">
        <v>2</v>
      </c>
      <c r="C121" s="7">
        <v>3</v>
      </c>
      <c r="D121" s="7">
        <f t="shared" si="2"/>
        <v>1</v>
      </c>
      <c r="E121" s="8">
        <f t="shared" si="3"/>
        <v>0</v>
      </c>
      <c r="F121" s="5" t="s">
        <v>17</v>
      </c>
      <c r="G121" s="9">
        <v>8</v>
      </c>
      <c r="H121" s="5" t="s">
        <v>163</v>
      </c>
      <c r="I121" s="5" t="s">
        <v>203</v>
      </c>
    </row>
    <row r="122" ht="28.3" spans="1:9">
      <c r="A122" s="5" t="s">
        <v>249</v>
      </c>
      <c r="B122" s="6">
        <v>4</v>
      </c>
      <c r="C122" s="7">
        <v>2</v>
      </c>
      <c r="D122" s="7">
        <f t="shared" si="2"/>
        <v>-2</v>
      </c>
      <c r="E122" s="8">
        <f t="shared" si="3"/>
        <v>0</v>
      </c>
      <c r="F122" s="5" t="s">
        <v>87</v>
      </c>
      <c r="G122" s="9">
        <v>101</v>
      </c>
      <c r="H122" s="5" t="s">
        <v>163</v>
      </c>
      <c r="I122" s="5" t="s">
        <v>206</v>
      </c>
    </row>
    <row r="123" ht="28.3" spans="1:9">
      <c r="A123" s="5" t="s">
        <v>250</v>
      </c>
      <c r="B123" s="6">
        <v>0</v>
      </c>
      <c r="C123" s="7">
        <v>0</v>
      </c>
      <c r="D123" s="7">
        <f t="shared" si="2"/>
        <v>0</v>
      </c>
      <c r="E123" s="8">
        <f t="shared" si="3"/>
        <v>1</v>
      </c>
      <c r="F123" s="5" t="s">
        <v>251</v>
      </c>
      <c r="G123" s="9">
        <v>64</v>
      </c>
      <c r="H123" s="5" t="s">
        <v>163</v>
      </c>
      <c r="I123" s="5" t="s">
        <v>208</v>
      </c>
    </row>
    <row r="124" ht="28.3" spans="1:9">
      <c r="A124" s="5" t="s">
        <v>252</v>
      </c>
      <c r="B124" s="6">
        <v>1</v>
      </c>
      <c r="C124" s="7">
        <v>1</v>
      </c>
      <c r="D124" s="7">
        <f t="shared" si="2"/>
        <v>0</v>
      </c>
      <c r="E124" s="8">
        <f t="shared" si="3"/>
        <v>1</v>
      </c>
      <c r="F124" s="5" t="s">
        <v>70</v>
      </c>
      <c r="G124" s="9">
        <v>8</v>
      </c>
      <c r="H124" s="5" t="s">
        <v>163</v>
      </c>
      <c r="I124" s="5" t="s">
        <v>210</v>
      </c>
    </row>
    <row r="125" ht="28.3" spans="1:9">
      <c r="A125" s="5" t="s">
        <v>253</v>
      </c>
      <c r="B125" s="6">
        <v>1</v>
      </c>
      <c r="C125" s="7">
        <v>1</v>
      </c>
      <c r="D125" s="7">
        <f t="shared" si="2"/>
        <v>0</v>
      </c>
      <c r="E125" s="8">
        <f t="shared" si="3"/>
        <v>1</v>
      </c>
      <c r="F125" s="5" t="s">
        <v>110</v>
      </c>
      <c r="G125" s="9">
        <v>51</v>
      </c>
      <c r="H125" s="5" t="s">
        <v>163</v>
      </c>
      <c r="I125" s="5" t="s">
        <v>213</v>
      </c>
    </row>
    <row r="126" ht="28.3" spans="1:9">
      <c r="A126" s="5" t="s">
        <v>254</v>
      </c>
      <c r="B126" s="6">
        <v>5</v>
      </c>
      <c r="C126" s="7">
        <v>6</v>
      </c>
      <c r="D126" s="7">
        <f t="shared" si="2"/>
        <v>1</v>
      </c>
      <c r="E126" s="8">
        <f t="shared" si="3"/>
        <v>0</v>
      </c>
      <c r="F126" s="5" t="s">
        <v>22</v>
      </c>
      <c r="G126" s="9">
        <v>8</v>
      </c>
      <c r="H126" s="5" t="s">
        <v>163</v>
      </c>
      <c r="I126" s="5" t="s">
        <v>164</v>
      </c>
    </row>
    <row r="127" ht="28.3" spans="1:9">
      <c r="A127" s="5" t="s">
        <v>255</v>
      </c>
      <c r="B127" s="6">
        <v>3</v>
      </c>
      <c r="C127" s="7">
        <v>3</v>
      </c>
      <c r="D127" s="7">
        <f t="shared" si="2"/>
        <v>0</v>
      </c>
      <c r="E127" s="8">
        <f t="shared" si="3"/>
        <v>1</v>
      </c>
      <c r="F127" s="5" t="s">
        <v>117</v>
      </c>
      <c r="G127" s="9">
        <v>8</v>
      </c>
      <c r="H127" s="5" t="s">
        <v>163</v>
      </c>
      <c r="I127" s="5" t="s">
        <v>166</v>
      </c>
    </row>
    <row r="128" ht="28.3" spans="1:9">
      <c r="A128" s="5" t="s">
        <v>256</v>
      </c>
      <c r="B128" s="6">
        <v>5</v>
      </c>
      <c r="C128" s="7">
        <v>5</v>
      </c>
      <c r="D128" s="7">
        <f t="shared" si="2"/>
        <v>0</v>
      </c>
      <c r="E128" s="8">
        <f t="shared" si="3"/>
        <v>1</v>
      </c>
      <c r="F128" s="5" t="s">
        <v>31</v>
      </c>
      <c r="G128" s="9">
        <v>8</v>
      </c>
      <c r="H128" s="5" t="s">
        <v>163</v>
      </c>
      <c r="I128" s="5" t="s">
        <v>168</v>
      </c>
    </row>
    <row r="129" ht="28.3" spans="1:9">
      <c r="A129" s="5" t="s">
        <v>257</v>
      </c>
      <c r="B129" s="6">
        <v>1</v>
      </c>
      <c r="C129" s="7">
        <v>2</v>
      </c>
      <c r="D129" s="7">
        <f t="shared" si="2"/>
        <v>1</v>
      </c>
      <c r="E129" s="8">
        <f t="shared" si="3"/>
        <v>0</v>
      </c>
      <c r="F129" s="5" t="s">
        <v>64</v>
      </c>
      <c r="G129" s="9">
        <v>8</v>
      </c>
      <c r="H129" s="5" t="s">
        <v>163</v>
      </c>
      <c r="I129" s="5" t="s">
        <v>170</v>
      </c>
    </row>
    <row r="130" ht="28.3" spans="1:9">
      <c r="A130" s="5" t="s">
        <v>258</v>
      </c>
      <c r="B130" s="6">
        <v>1</v>
      </c>
      <c r="C130" s="7">
        <v>1</v>
      </c>
      <c r="D130" s="7">
        <f t="shared" ref="D130:D193" si="4">IF(B130="","",C130-B130)</f>
        <v>0</v>
      </c>
      <c r="E130" s="8">
        <f t="shared" ref="E130:E193" si="5">IF(B130="","",--(B130=C130))</f>
        <v>1</v>
      </c>
      <c r="F130" s="5" t="s">
        <v>110</v>
      </c>
      <c r="G130" s="9">
        <v>8</v>
      </c>
      <c r="H130" s="5" t="s">
        <v>163</v>
      </c>
      <c r="I130" s="5" t="s">
        <v>173</v>
      </c>
    </row>
    <row r="131" ht="28.3" spans="1:9">
      <c r="A131" s="5" t="s">
        <v>259</v>
      </c>
      <c r="B131" s="6">
        <v>5</v>
      </c>
      <c r="C131" s="7">
        <v>5</v>
      </c>
      <c r="D131" s="7">
        <f t="shared" si="4"/>
        <v>0</v>
      </c>
      <c r="E131" s="8">
        <f t="shared" si="5"/>
        <v>1</v>
      </c>
      <c r="F131" s="5" t="s">
        <v>31</v>
      </c>
      <c r="G131" s="9">
        <v>8</v>
      </c>
      <c r="H131" s="5" t="s">
        <v>163</v>
      </c>
      <c r="I131" s="5" t="s">
        <v>177</v>
      </c>
    </row>
    <row r="132" ht="28.3" spans="1:9">
      <c r="A132" s="5" t="s">
        <v>260</v>
      </c>
      <c r="B132" s="6">
        <v>8</v>
      </c>
      <c r="C132" s="7">
        <v>8</v>
      </c>
      <c r="D132" s="7">
        <f t="shared" si="4"/>
        <v>0</v>
      </c>
      <c r="E132" s="8">
        <f t="shared" si="5"/>
        <v>1</v>
      </c>
      <c r="F132" s="5" t="s">
        <v>160</v>
      </c>
      <c r="G132" s="9">
        <v>6</v>
      </c>
      <c r="H132" s="5" t="s">
        <v>261</v>
      </c>
      <c r="I132" s="5" t="s">
        <v>262</v>
      </c>
    </row>
    <row r="133" ht="28.3" spans="1:9">
      <c r="A133" s="5" t="s">
        <v>263</v>
      </c>
      <c r="B133" s="6">
        <v>8</v>
      </c>
      <c r="C133" s="7">
        <v>7</v>
      </c>
      <c r="D133" s="7">
        <f t="shared" si="4"/>
        <v>-1</v>
      </c>
      <c r="E133" s="8">
        <f t="shared" si="5"/>
        <v>0</v>
      </c>
      <c r="F133" s="5" t="s">
        <v>226</v>
      </c>
      <c r="G133" s="9">
        <v>6</v>
      </c>
      <c r="H133" s="5" t="s">
        <v>261</v>
      </c>
      <c r="I133" s="5" t="s">
        <v>262</v>
      </c>
    </row>
    <row r="134" ht="28.3" spans="1:9">
      <c r="A134" s="5" t="s">
        <v>264</v>
      </c>
      <c r="B134" s="6">
        <v>7</v>
      </c>
      <c r="C134" s="7">
        <v>8</v>
      </c>
      <c r="D134" s="7">
        <f t="shared" si="4"/>
        <v>1</v>
      </c>
      <c r="E134" s="8">
        <f t="shared" si="5"/>
        <v>0</v>
      </c>
      <c r="F134" s="5" t="s">
        <v>160</v>
      </c>
      <c r="G134" s="9">
        <v>6</v>
      </c>
      <c r="H134" s="5" t="s">
        <v>261</v>
      </c>
      <c r="I134" s="5" t="s">
        <v>262</v>
      </c>
    </row>
    <row r="135" ht="28.3" spans="1:9">
      <c r="A135" s="5" t="s">
        <v>265</v>
      </c>
      <c r="B135" s="6">
        <v>8</v>
      </c>
      <c r="C135" s="7">
        <v>7</v>
      </c>
      <c r="D135" s="7">
        <f t="shared" si="4"/>
        <v>-1</v>
      </c>
      <c r="E135" s="8">
        <f t="shared" si="5"/>
        <v>0</v>
      </c>
      <c r="F135" s="5" t="s">
        <v>226</v>
      </c>
      <c r="G135" s="9">
        <v>6</v>
      </c>
      <c r="H135" s="5" t="s">
        <v>261</v>
      </c>
      <c r="I135" s="5" t="s">
        <v>262</v>
      </c>
    </row>
    <row r="136" ht="28.3" spans="1:9">
      <c r="A136" s="5" t="s">
        <v>266</v>
      </c>
      <c r="B136" s="6">
        <v>9</v>
      </c>
      <c r="C136" s="7">
        <v>8</v>
      </c>
      <c r="D136" s="7">
        <f t="shared" si="4"/>
        <v>-1</v>
      </c>
      <c r="E136" s="8">
        <f t="shared" si="5"/>
        <v>0</v>
      </c>
      <c r="F136" s="5" t="s">
        <v>267</v>
      </c>
      <c r="G136" s="9">
        <v>8</v>
      </c>
      <c r="H136" s="5" t="s">
        <v>261</v>
      </c>
      <c r="I136" s="5" t="s">
        <v>262</v>
      </c>
    </row>
    <row r="137" ht="28.3" spans="1:9">
      <c r="A137" s="5" t="s">
        <v>268</v>
      </c>
      <c r="B137" s="6">
        <v>7</v>
      </c>
      <c r="C137" s="7">
        <v>11</v>
      </c>
      <c r="D137" s="7">
        <f t="shared" si="4"/>
        <v>4</v>
      </c>
      <c r="E137" s="8">
        <f t="shared" si="5"/>
        <v>0</v>
      </c>
      <c r="F137" s="5" t="s">
        <v>269</v>
      </c>
      <c r="G137" s="9">
        <v>8</v>
      </c>
      <c r="H137" s="5" t="s">
        <v>261</v>
      </c>
      <c r="I137" s="5" t="s">
        <v>262</v>
      </c>
    </row>
    <row r="138" ht="28.3" spans="1:9">
      <c r="A138" s="5" t="s">
        <v>270</v>
      </c>
      <c r="B138" s="6">
        <v>6</v>
      </c>
      <c r="C138" s="7">
        <v>6</v>
      </c>
      <c r="D138" s="7">
        <f t="shared" si="4"/>
        <v>0</v>
      </c>
      <c r="E138" s="8">
        <f t="shared" si="5"/>
        <v>1</v>
      </c>
      <c r="F138" s="5" t="s">
        <v>222</v>
      </c>
      <c r="G138" s="9">
        <v>6</v>
      </c>
      <c r="H138" s="5" t="s">
        <v>261</v>
      </c>
      <c r="I138" s="5" t="s">
        <v>262</v>
      </c>
    </row>
    <row r="139" ht="28.3" spans="1:9">
      <c r="A139" s="5" t="s">
        <v>271</v>
      </c>
      <c r="B139" s="6">
        <v>6</v>
      </c>
      <c r="C139" s="7">
        <v>6</v>
      </c>
      <c r="D139" s="7">
        <f t="shared" si="4"/>
        <v>0</v>
      </c>
      <c r="E139" s="8">
        <f t="shared" si="5"/>
        <v>1</v>
      </c>
      <c r="F139" s="5" t="s">
        <v>22</v>
      </c>
      <c r="G139" s="9">
        <v>8</v>
      </c>
      <c r="H139" s="5" t="s">
        <v>261</v>
      </c>
      <c r="I139" s="5" t="s">
        <v>262</v>
      </c>
    </row>
    <row r="140" ht="28.3" spans="1:9">
      <c r="A140" s="5" t="s">
        <v>272</v>
      </c>
      <c r="B140" s="6">
        <v>6</v>
      </c>
      <c r="C140" s="7">
        <v>5</v>
      </c>
      <c r="D140" s="7">
        <f t="shared" si="4"/>
        <v>-1</v>
      </c>
      <c r="E140" s="8">
        <f t="shared" si="5"/>
        <v>0</v>
      </c>
      <c r="F140" s="5" t="s">
        <v>31</v>
      </c>
      <c r="G140" s="9">
        <v>6</v>
      </c>
      <c r="H140" s="5" t="s">
        <v>261</v>
      </c>
      <c r="I140" s="5" t="s">
        <v>262</v>
      </c>
    </row>
    <row r="141" ht="28.3" spans="1:9">
      <c r="A141" s="5" t="s">
        <v>273</v>
      </c>
      <c r="B141" s="6">
        <v>7</v>
      </c>
      <c r="C141" s="7">
        <v>8</v>
      </c>
      <c r="D141" s="7">
        <f t="shared" si="4"/>
        <v>1</v>
      </c>
      <c r="E141" s="8">
        <f t="shared" si="5"/>
        <v>0</v>
      </c>
      <c r="F141" s="5" t="s">
        <v>42</v>
      </c>
      <c r="G141" s="9">
        <v>8</v>
      </c>
      <c r="H141" s="5" t="s">
        <v>261</v>
      </c>
      <c r="I141" s="5" t="s">
        <v>262</v>
      </c>
    </row>
    <row r="142" ht="28.3" spans="1:9">
      <c r="A142" s="5" t="s">
        <v>274</v>
      </c>
      <c r="B142" s="6">
        <v>5</v>
      </c>
      <c r="C142" s="7">
        <v>5</v>
      </c>
      <c r="D142" s="7">
        <f t="shared" si="4"/>
        <v>0</v>
      </c>
      <c r="E142" s="8">
        <f t="shared" si="5"/>
        <v>1</v>
      </c>
      <c r="F142" s="5" t="s">
        <v>31</v>
      </c>
      <c r="G142" s="9">
        <v>8</v>
      </c>
      <c r="H142" s="5" t="s">
        <v>261</v>
      </c>
      <c r="I142" s="5" t="s">
        <v>262</v>
      </c>
    </row>
    <row r="143" ht="28.3" spans="1:9">
      <c r="A143" s="5" t="s">
        <v>275</v>
      </c>
      <c r="B143" s="6">
        <v>6</v>
      </c>
      <c r="C143" s="7">
        <v>5</v>
      </c>
      <c r="D143" s="7">
        <f t="shared" si="4"/>
        <v>-1</v>
      </c>
      <c r="E143" s="8">
        <f t="shared" si="5"/>
        <v>0</v>
      </c>
      <c r="F143" s="5" t="s">
        <v>39</v>
      </c>
      <c r="G143" s="9">
        <v>8</v>
      </c>
      <c r="H143" s="5" t="s">
        <v>261</v>
      </c>
      <c r="I143" s="5" t="s">
        <v>262</v>
      </c>
    </row>
    <row r="144" ht="28.3" spans="1:9">
      <c r="A144" s="5" t="s">
        <v>276</v>
      </c>
      <c r="B144" s="6">
        <v>8</v>
      </c>
      <c r="C144" s="7">
        <v>9</v>
      </c>
      <c r="D144" s="7">
        <f t="shared" si="4"/>
        <v>1</v>
      </c>
      <c r="E144" s="8">
        <f t="shared" si="5"/>
        <v>0</v>
      </c>
      <c r="F144" s="5" t="s">
        <v>277</v>
      </c>
      <c r="G144" s="9">
        <v>6</v>
      </c>
      <c r="H144" s="5" t="s">
        <v>261</v>
      </c>
      <c r="I144" s="5" t="s">
        <v>262</v>
      </c>
    </row>
    <row r="145" ht="28.3" spans="1:9">
      <c r="A145" s="5" t="s">
        <v>278</v>
      </c>
      <c r="B145" s="6">
        <v>8</v>
      </c>
      <c r="C145" s="7">
        <v>2</v>
      </c>
      <c r="D145" s="7">
        <f t="shared" si="4"/>
        <v>-6</v>
      </c>
      <c r="E145" s="8">
        <f t="shared" si="5"/>
        <v>0</v>
      </c>
      <c r="F145" s="5" t="s">
        <v>279</v>
      </c>
      <c r="G145" s="9">
        <v>6</v>
      </c>
      <c r="H145" s="5" t="s">
        <v>261</v>
      </c>
      <c r="I145" s="5" t="s">
        <v>262</v>
      </c>
    </row>
    <row r="146" ht="28.3" spans="1:9">
      <c r="A146" s="5" t="s">
        <v>280</v>
      </c>
      <c r="B146" s="6">
        <v>6</v>
      </c>
      <c r="C146" s="7">
        <v>5</v>
      </c>
      <c r="D146" s="7">
        <f t="shared" si="4"/>
        <v>-1</v>
      </c>
      <c r="E146" s="8">
        <f t="shared" si="5"/>
        <v>0</v>
      </c>
      <c r="F146" s="5" t="s">
        <v>31</v>
      </c>
      <c r="G146" s="9">
        <v>6</v>
      </c>
      <c r="H146" s="5" t="s">
        <v>261</v>
      </c>
      <c r="I146" s="5" t="s">
        <v>262</v>
      </c>
    </row>
    <row r="147" ht="28.3" spans="1:9">
      <c r="A147" s="5" t="s">
        <v>281</v>
      </c>
      <c r="B147" s="6">
        <v>5</v>
      </c>
      <c r="C147" s="7">
        <v>5</v>
      </c>
      <c r="D147" s="7">
        <f t="shared" si="4"/>
        <v>0</v>
      </c>
      <c r="E147" s="8">
        <f t="shared" si="5"/>
        <v>1</v>
      </c>
      <c r="F147" s="5" t="s">
        <v>31</v>
      </c>
      <c r="G147" s="9">
        <v>8</v>
      </c>
      <c r="H147" s="5" t="s">
        <v>261</v>
      </c>
      <c r="I147" s="5" t="s">
        <v>262</v>
      </c>
    </row>
    <row r="148" ht="28.3" spans="1:9">
      <c r="A148" s="5" t="s">
        <v>282</v>
      </c>
      <c r="B148" s="6">
        <v>6</v>
      </c>
      <c r="C148" s="7">
        <v>6</v>
      </c>
      <c r="D148" s="7">
        <f t="shared" si="4"/>
        <v>0</v>
      </c>
      <c r="E148" s="8">
        <f t="shared" si="5"/>
        <v>1</v>
      </c>
      <c r="F148" s="5" t="s">
        <v>36</v>
      </c>
      <c r="G148" s="9">
        <v>7</v>
      </c>
      <c r="H148" s="5" t="s">
        <v>261</v>
      </c>
      <c r="I148" s="5" t="s">
        <v>262</v>
      </c>
    </row>
    <row r="149" ht="28.3" spans="1:9">
      <c r="A149" s="5" t="s">
        <v>283</v>
      </c>
      <c r="B149" s="6">
        <v>6</v>
      </c>
      <c r="C149" s="7">
        <v>6</v>
      </c>
      <c r="D149" s="7">
        <f t="shared" si="4"/>
        <v>0</v>
      </c>
      <c r="E149" s="8">
        <f t="shared" si="5"/>
        <v>1</v>
      </c>
      <c r="F149" s="5" t="s">
        <v>22</v>
      </c>
      <c r="G149" s="9">
        <v>6</v>
      </c>
      <c r="H149" s="5" t="s">
        <v>261</v>
      </c>
      <c r="I149" s="5" t="s">
        <v>262</v>
      </c>
    </row>
    <row r="150" ht="28.3" spans="1:9">
      <c r="A150" s="5" t="s">
        <v>284</v>
      </c>
      <c r="B150" s="6">
        <v>7</v>
      </c>
      <c r="C150" s="7">
        <v>8</v>
      </c>
      <c r="D150" s="7">
        <f t="shared" si="4"/>
        <v>1</v>
      </c>
      <c r="E150" s="8">
        <f t="shared" si="5"/>
        <v>0</v>
      </c>
      <c r="F150" s="5" t="s">
        <v>160</v>
      </c>
      <c r="G150" s="9">
        <v>6</v>
      </c>
      <c r="H150" s="5" t="s">
        <v>261</v>
      </c>
      <c r="I150" s="5" t="s">
        <v>262</v>
      </c>
    </row>
    <row r="151" ht="28.3" spans="1:9">
      <c r="A151" s="5" t="s">
        <v>285</v>
      </c>
      <c r="B151" s="6">
        <v>6</v>
      </c>
      <c r="C151" s="7">
        <v>6</v>
      </c>
      <c r="D151" s="7">
        <f t="shared" si="4"/>
        <v>0</v>
      </c>
      <c r="E151" s="8">
        <f t="shared" si="5"/>
        <v>1</v>
      </c>
      <c r="F151" s="5" t="s">
        <v>222</v>
      </c>
      <c r="G151" s="9">
        <v>6</v>
      </c>
      <c r="H151" s="5" t="s">
        <v>261</v>
      </c>
      <c r="I151" s="5" t="s">
        <v>262</v>
      </c>
    </row>
    <row r="152" ht="28.3" spans="1:9">
      <c r="A152" s="5" t="s">
        <v>286</v>
      </c>
      <c r="B152" s="6">
        <v>6</v>
      </c>
      <c r="C152" s="7">
        <v>6</v>
      </c>
      <c r="D152" s="7">
        <f t="shared" si="4"/>
        <v>0</v>
      </c>
      <c r="E152" s="8">
        <f t="shared" si="5"/>
        <v>1</v>
      </c>
      <c r="F152" s="5" t="s">
        <v>22</v>
      </c>
      <c r="G152" s="9">
        <v>6</v>
      </c>
      <c r="H152" s="5" t="s">
        <v>261</v>
      </c>
      <c r="I152" s="5" t="s">
        <v>262</v>
      </c>
    </row>
    <row r="153" ht="28.3" spans="1:9">
      <c r="A153" s="5" t="s">
        <v>287</v>
      </c>
      <c r="B153" s="6">
        <v>6</v>
      </c>
      <c r="C153" s="7">
        <v>5</v>
      </c>
      <c r="D153" s="7">
        <f t="shared" si="4"/>
        <v>-1</v>
      </c>
      <c r="E153" s="8">
        <f t="shared" si="5"/>
        <v>0</v>
      </c>
      <c r="F153" s="5" t="s">
        <v>39</v>
      </c>
      <c r="G153" s="9">
        <v>6</v>
      </c>
      <c r="H153" s="5" t="s">
        <v>261</v>
      </c>
      <c r="I153" s="5" t="s">
        <v>262</v>
      </c>
    </row>
    <row r="154" ht="28.3" spans="1:9">
      <c r="A154" s="5" t="s">
        <v>288</v>
      </c>
      <c r="B154" s="6">
        <v>7</v>
      </c>
      <c r="C154" s="7">
        <v>8</v>
      </c>
      <c r="D154" s="7">
        <f t="shared" si="4"/>
        <v>1</v>
      </c>
      <c r="E154" s="8">
        <f t="shared" si="5"/>
        <v>0</v>
      </c>
      <c r="F154" s="5" t="s">
        <v>160</v>
      </c>
      <c r="G154" s="9">
        <v>6</v>
      </c>
      <c r="H154" s="5" t="s">
        <v>261</v>
      </c>
      <c r="I154" s="5" t="s">
        <v>262</v>
      </c>
    </row>
    <row r="155" ht="28.3" spans="1:9">
      <c r="A155" s="5" t="s">
        <v>289</v>
      </c>
      <c r="B155" s="6">
        <v>6</v>
      </c>
      <c r="C155" s="7">
        <v>5</v>
      </c>
      <c r="D155" s="7">
        <f t="shared" si="4"/>
        <v>-1</v>
      </c>
      <c r="E155" s="8">
        <f t="shared" si="5"/>
        <v>0</v>
      </c>
      <c r="F155" s="5" t="s">
        <v>39</v>
      </c>
      <c r="G155" s="9">
        <v>6</v>
      </c>
      <c r="H155" s="5" t="s">
        <v>261</v>
      </c>
      <c r="I155" s="5" t="s">
        <v>262</v>
      </c>
    </row>
    <row r="156" ht="28.3" spans="1:9">
      <c r="A156" s="5" t="s">
        <v>290</v>
      </c>
      <c r="B156" s="6">
        <v>8</v>
      </c>
      <c r="C156" s="7">
        <v>9</v>
      </c>
      <c r="D156" s="7">
        <f t="shared" si="4"/>
        <v>1</v>
      </c>
      <c r="E156" s="8">
        <f t="shared" si="5"/>
        <v>0</v>
      </c>
      <c r="F156" s="5" t="s">
        <v>291</v>
      </c>
      <c r="G156" s="9">
        <v>6</v>
      </c>
      <c r="H156" s="5" t="s">
        <v>261</v>
      </c>
      <c r="I156" s="5" t="s">
        <v>262</v>
      </c>
    </row>
    <row r="157" ht="28.3" spans="1:9">
      <c r="A157" s="5" t="s">
        <v>292</v>
      </c>
      <c r="B157" s="6">
        <v>6</v>
      </c>
      <c r="C157" s="7">
        <v>6</v>
      </c>
      <c r="D157" s="7">
        <f t="shared" si="4"/>
        <v>0</v>
      </c>
      <c r="E157" s="8">
        <f t="shared" si="5"/>
        <v>1</v>
      </c>
      <c r="F157" s="5" t="s">
        <v>22</v>
      </c>
      <c r="G157" s="9">
        <v>6</v>
      </c>
      <c r="H157" s="5" t="s">
        <v>261</v>
      </c>
      <c r="I157" s="5" t="s">
        <v>262</v>
      </c>
    </row>
    <row r="158" ht="28.3" spans="1:9">
      <c r="A158" s="5" t="s">
        <v>293</v>
      </c>
      <c r="B158" s="6">
        <v>9</v>
      </c>
      <c r="C158" s="7">
        <v>8</v>
      </c>
      <c r="D158" s="7">
        <f t="shared" si="4"/>
        <v>-1</v>
      </c>
      <c r="E158" s="8">
        <f t="shared" si="5"/>
        <v>0</v>
      </c>
      <c r="F158" s="5" t="s">
        <v>42</v>
      </c>
      <c r="G158" s="9">
        <v>6</v>
      </c>
      <c r="H158" s="5" t="s">
        <v>261</v>
      </c>
      <c r="I158" s="5" t="s">
        <v>262</v>
      </c>
    </row>
    <row r="159" ht="28.3" spans="1:9">
      <c r="A159" s="5" t="s">
        <v>294</v>
      </c>
      <c r="B159" s="6">
        <v>8</v>
      </c>
      <c r="C159" s="7">
        <v>8</v>
      </c>
      <c r="D159" s="7">
        <f t="shared" si="4"/>
        <v>0</v>
      </c>
      <c r="E159" s="8">
        <f t="shared" si="5"/>
        <v>1</v>
      </c>
      <c r="F159" s="5" t="s">
        <v>160</v>
      </c>
      <c r="G159" s="9">
        <v>6</v>
      </c>
      <c r="H159" s="5" t="s">
        <v>261</v>
      </c>
      <c r="I159" s="5" t="s">
        <v>262</v>
      </c>
    </row>
    <row r="160" ht="28.3" spans="1:9">
      <c r="A160" s="5" t="s">
        <v>295</v>
      </c>
      <c r="B160" s="6">
        <v>10</v>
      </c>
      <c r="C160" s="7">
        <v>10</v>
      </c>
      <c r="D160" s="7">
        <f t="shared" si="4"/>
        <v>0</v>
      </c>
      <c r="E160" s="8">
        <f t="shared" si="5"/>
        <v>1</v>
      </c>
      <c r="F160" s="5" t="s">
        <v>296</v>
      </c>
      <c r="G160" s="9">
        <v>6</v>
      </c>
      <c r="H160" s="5" t="s">
        <v>261</v>
      </c>
      <c r="I160" s="5" t="s">
        <v>262</v>
      </c>
    </row>
    <row r="161" ht="28.3" spans="1:9">
      <c r="A161" s="5" t="s">
        <v>297</v>
      </c>
      <c r="B161" s="6">
        <v>8</v>
      </c>
      <c r="C161" s="7">
        <v>7</v>
      </c>
      <c r="D161" s="7">
        <f t="shared" si="4"/>
        <v>-1</v>
      </c>
      <c r="E161" s="8">
        <f t="shared" si="5"/>
        <v>0</v>
      </c>
      <c r="F161" s="5" t="s">
        <v>226</v>
      </c>
      <c r="G161" s="9">
        <v>6</v>
      </c>
      <c r="H161" s="5" t="s">
        <v>261</v>
      </c>
      <c r="I161" s="5" t="s">
        <v>262</v>
      </c>
    </row>
    <row r="162" ht="28.3" spans="1:9">
      <c r="A162" s="5" t="s">
        <v>298</v>
      </c>
      <c r="B162" s="6">
        <v>8</v>
      </c>
      <c r="C162" s="7">
        <v>7</v>
      </c>
      <c r="D162" s="7">
        <f t="shared" si="4"/>
        <v>-1</v>
      </c>
      <c r="E162" s="8">
        <f t="shared" si="5"/>
        <v>0</v>
      </c>
      <c r="F162" s="5" t="s">
        <v>299</v>
      </c>
      <c r="G162" s="9">
        <v>6</v>
      </c>
      <c r="H162" s="5" t="s">
        <v>261</v>
      </c>
      <c r="I162" s="5" t="s">
        <v>262</v>
      </c>
    </row>
    <row r="163" ht="28.3" spans="1:9">
      <c r="A163" s="5" t="s">
        <v>300</v>
      </c>
      <c r="B163" s="6">
        <v>6</v>
      </c>
      <c r="C163" s="7">
        <v>5</v>
      </c>
      <c r="D163" s="7">
        <f t="shared" si="4"/>
        <v>-1</v>
      </c>
      <c r="E163" s="8">
        <f t="shared" si="5"/>
        <v>0</v>
      </c>
      <c r="F163" s="5" t="s">
        <v>31</v>
      </c>
      <c r="G163" s="9">
        <v>6</v>
      </c>
      <c r="H163" s="5" t="s">
        <v>261</v>
      </c>
      <c r="I163" s="5" t="s">
        <v>262</v>
      </c>
    </row>
    <row r="164" ht="28.3" spans="1:9">
      <c r="A164" s="5" t="s">
        <v>301</v>
      </c>
      <c r="B164" s="6">
        <v>8</v>
      </c>
      <c r="C164" s="7">
        <v>7</v>
      </c>
      <c r="D164" s="7">
        <f t="shared" si="4"/>
        <v>-1</v>
      </c>
      <c r="E164" s="8">
        <f t="shared" si="5"/>
        <v>0</v>
      </c>
      <c r="F164" s="5" t="s">
        <v>302</v>
      </c>
      <c r="G164" s="9">
        <v>6</v>
      </c>
      <c r="H164" s="5" t="s">
        <v>261</v>
      </c>
      <c r="I164" s="5" t="s">
        <v>262</v>
      </c>
    </row>
    <row r="165" ht="28.3" spans="1:9">
      <c r="A165" s="5" t="s">
        <v>303</v>
      </c>
      <c r="B165" s="6">
        <v>7</v>
      </c>
      <c r="C165" s="7">
        <v>8</v>
      </c>
      <c r="D165" s="7">
        <f t="shared" si="4"/>
        <v>1</v>
      </c>
      <c r="E165" s="8">
        <f t="shared" si="5"/>
        <v>0</v>
      </c>
      <c r="F165" s="5" t="s">
        <v>304</v>
      </c>
      <c r="G165" s="9">
        <v>6</v>
      </c>
      <c r="H165" s="5" t="s">
        <v>261</v>
      </c>
      <c r="I165" s="5" t="s">
        <v>262</v>
      </c>
    </row>
    <row r="166" ht="28.3" spans="1:9">
      <c r="A166" s="5" t="s">
        <v>305</v>
      </c>
      <c r="B166" s="6">
        <v>6</v>
      </c>
      <c r="C166" s="7">
        <v>6</v>
      </c>
      <c r="D166" s="7">
        <f t="shared" si="4"/>
        <v>0</v>
      </c>
      <c r="E166" s="8">
        <f t="shared" si="5"/>
        <v>1</v>
      </c>
      <c r="F166" s="5" t="s">
        <v>306</v>
      </c>
      <c r="G166" s="9">
        <v>6</v>
      </c>
      <c r="H166" s="5" t="s">
        <v>261</v>
      </c>
      <c r="I166" s="5" t="s">
        <v>262</v>
      </c>
    </row>
    <row r="167" ht="28.3" spans="1:9">
      <c r="A167" s="5" t="s">
        <v>307</v>
      </c>
      <c r="B167" s="6">
        <v>9</v>
      </c>
      <c r="C167" s="7">
        <v>10</v>
      </c>
      <c r="D167" s="7">
        <f t="shared" si="4"/>
        <v>1</v>
      </c>
      <c r="E167" s="8">
        <f t="shared" si="5"/>
        <v>0</v>
      </c>
      <c r="F167" s="5" t="s">
        <v>308</v>
      </c>
      <c r="G167" s="9">
        <v>6</v>
      </c>
      <c r="H167" s="5" t="s">
        <v>261</v>
      </c>
      <c r="I167" s="5" t="s">
        <v>262</v>
      </c>
    </row>
    <row r="168" ht="28.3" spans="1:9">
      <c r="A168" s="5" t="s">
        <v>309</v>
      </c>
      <c r="B168" s="6">
        <v>8</v>
      </c>
      <c r="C168" s="7">
        <v>9</v>
      </c>
      <c r="D168" s="7">
        <f t="shared" si="4"/>
        <v>1</v>
      </c>
      <c r="E168" s="8">
        <f t="shared" si="5"/>
        <v>0</v>
      </c>
      <c r="F168" s="5" t="s">
        <v>310</v>
      </c>
      <c r="G168" s="9">
        <v>6</v>
      </c>
      <c r="H168" s="5" t="s">
        <v>261</v>
      </c>
      <c r="I168" s="5" t="s">
        <v>262</v>
      </c>
    </row>
    <row r="169" ht="28.3" spans="1:9">
      <c r="A169" s="5" t="s">
        <v>311</v>
      </c>
      <c r="B169" s="6">
        <v>7</v>
      </c>
      <c r="C169" s="7">
        <v>9</v>
      </c>
      <c r="D169" s="7">
        <f t="shared" si="4"/>
        <v>2</v>
      </c>
      <c r="E169" s="8">
        <f t="shared" si="5"/>
        <v>0</v>
      </c>
      <c r="F169" s="5" t="s">
        <v>312</v>
      </c>
      <c r="G169" s="9">
        <v>6</v>
      </c>
      <c r="H169" s="5" t="s">
        <v>261</v>
      </c>
      <c r="I169" s="5" t="s">
        <v>262</v>
      </c>
    </row>
    <row r="170" ht="28.3" spans="1:9">
      <c r="A170" s="5" t="s">
        <v>313</v>
      </c>
      <c r="B170" s="6">
        <v>8</v>
      </c>
      <c r="C170" s="7">
        <v>8</v>
      </c>
      <c r="D170" s="7">
        <f t="shared" si="4"/>
        <v>0</v>
      </c>
      <c r="E170" s="8">
        <f t="shared" si="5"/>
        <v>1</v>
      </c>
      <c r="F170" s="5" t="s">
        <v>314</v>
      </c>
      <c r="G170" s="9">
        <v>6</v>
      </c>
      <c r="H170" s="5" t="s">
        <v>261</v>
      </c>
      <c r="I170" s="5" t="s">
        <v>262</v>
      </c>
    </row>
    <row r="171" ht="28.3" spans="1:9">
      <c r="A171" s="5" t="s">
        <v>315</v>
      </c>
      <c r="B171" s="6">
        <v>8</v>
      </c>
      <c r="C171" s="7">
        <v>6</v>
      </c>
      <c r="D171" s="7">
        <f t="shared" si="4"/>
        <v>-2</v>
      </c>
      <c r="E171" s="8">
        <f t="shared" si="5"/>
        <v>0</v>
      </c>
      <c r="F171" s="5" t="s">
        <v>316</v>
      </c>
      <c r="G171" s="9">
        <v>6</v>
      </c>
      <c r="H171" s="5" t="s">
        <v>261</v>
      </c>
      <c r="I171" s="5" t="s">
        <v>262</v>
      </c>
    </row>
    <row r="172" ht="28.3" spans="1:9">
      <c r="A172" s="5" t="s">
        <v>317</v>
      </c>
      <c r="B172" s="6">
        <v>8</v>
      </c>
      <c r="C172" s="7">
        <v>9</v>
      </c>
      <c r="D172" s="7">
        <f t="shared" si="4"/>
        <v>1</v>
      </c>
      <c r="E172" s="8">
        <f t="shared" si="5"/>
        <v>0</v>
      </c>
      <c r="F172" s="5" t="s">
        <v>291</v>
      </c>
      <c r="G172" s="9">
        <v>6</v>
      </c>
      <c r="H172" s="5" t="s">
        <v>261</v>
      </c>
      <c r="I172" s="5" t="s">
        <v>262</v>
      </c>
    </row>
    <row r="173" ht="28.3" spans="1:9">
      <c r="A173" s="5" t="s">
        <v>318</v>
      </c>
      <c r="B173" s="6">
        <v>7</v>
      </c>
      <c r="C173" s="7">
        <v>6</v>
      </c>
      <c r="D173" s="7">
        <f t="shared" si="4"/>
        <v>-1</v>
      </c>
      <c r="E173" s="8">
        <f t="shared" si="5"/>
        <v>0</v>
      </c>
      <c r="F173" s="5" t="s">
        <v>114</v>
      </c>
      <c r="G173" s="9">
        <v>6</v>
      </c>
      <c r="H173" s="5" t="s">
        <v>261</v>
      </c>
      <c r="I173" s="5" t="s">
        <v>262</v>
      </c>
    </row>
    <row r="174" ht="28.3" spans="1:9">
      <c r="A174" s="5" t="s">
        <v>319</v>
      </c>
      <c r="B174" s="6">
        <v>8</v>
      </c>
      <c r="C174" s="7">
        <v>6</v>
      </c>
      <c r="D174" s="7">
        <f t="shared" si="4"/>
        <v>-2</v>
      </c>
      <c r="E174" s="8">
        <f t="shared" si="5"/>
        <v>0</v>
      </c>
      <c r="F174" s="5" t="s">
        <v>306</v>
      </c>
      <c r="G174" s="9">
        <v>6</v>
      </c>
      <c r="H174" s="5" t="s">
        <v>261</v>
      </c>
      <c r="I174" s="5" t="s">
        <v>262</v>
      </c>
    </row>
    <row r="175" ht="28.3" spans="1:9">
      <c r="A175" s="5" t="s">
        <v>320</v>
      </c>
      <c r="B175" s="6">
        <v>6</v>
      </c>
      <c r="C175" s="7">
        <v>6</v>
      </c>
      <c r="D175" s="7">
        <f t="shared" si="4"/>
        <v>0</v>
      </c>
      <c r="E175" s="8">
        <f t="shared" si="5"/>
        <v>1</v>
      </c>
      <c r="F175" s="5" t="s">
        <v>22</v>
      </c>
      <c r="G175" s="9">
        <v>6</v>
      </c>
      <c r="H175" s="5" t="s">
        <v>261</v>
      </c>
      <c r="I175" s="5" t="s">
        <v>262</v>
      </c>
    </row>
    <row r="176" ht="28.3" spans="1:9">
      <c r="A176" s="5" t="s">
        <v>321</v>
      </c>
      <c r="B176" s="6">
        <v>8</v>
      </c>
      <c r="C176" s="7">
        <v>6</v>
      </c>
      <c r="D176" s="7">
        <f t="shared" si="4"/>
        <v>-2</v>
      </c>
      <c r="E176" s="8">
        <f t="shared" si="5"/>
        <v>0</v>
      </c>
      <c r="F176" s="5" t="s">
        <v>306</v>
      </c>
      <c r="G176" s="9">
        <v>5</v>
      </c>
      <c r="H176" s="5" t="s">
        <v>261</v>
      </c>
      <c r="I176" s="5" t="s">
        <v>262</v>
      </c>
    </row>
    <row r="177" ht="28.3" spans="1:9">
      <c r="A177" s="5" t="s">
        <v>322</v>
      </c>
      <c r="B177" s="6">
        <v>9</v>
      </c>
      <c r="C177" s="7">
        <v>7</v>
      </c>
      <c r="D177" s="7">
        <f t="shared" si="4"/>
        <v>-2</v>
      </c>
      <c r="E177" s="8">
        <f t="shared" si="5"/>
        <v>0</v>
      </c>
      <c r="F177" s="5" t="s">
        <v>323</v>
      </c>
      <c r="G177" s="9">
        <v>6</v>
      </c>
      <c r="H177" s="5" t="s">
        <v>261</v>
      </c>
      <c r="I177" s="5" t="s">
        <v>262</v>
      </c>
    </row>
    <row r="178" ht="28.3" spans="1:9">
      <c r="A178" s="5" t="s">
        <v>324</v>
      </c>
      <c r="B178" s="6">
        <v>6</v>
      </c>
      <c r="C178" s="7">
        <v>4</v>
      </c>
      <c r="D178" s="7">
        <f t="shared" si="4"/>
        <v>-2</v>
      </c>
      <c r="E178" s="8">
        <f t="shared" si="5"/>
        <v>0</v>
      </c>
      <c r="F178" s="5" t="s">
        <v>54</v>
      </c>
      <c r="G178" s="9">
        <v>6</v>
      </c>
      <c r="H178" s="5" t="s">
        <v>261</v>
      </c>
      <c r="I178" s="5" t="s">
        <v>262</v>
      </c>
    </row>
    <row r="179" ht="28.3" spans="1:9">
      <c r="A179" s="5" t="s">
        <v>325</v>
      </c>
      <c r="B179" s="6">
        <v>6</v>
      </c>
      <c r="C179" s="7">
        <v>5</v>
      </c>
      <c r="D179" s="7">
        <f t="shared" si="4"/>
        <v>-1</v>
      </c>
      <c r="E179" s="8">
        <f t="shared" si="5"/>
        <v>0</v>
      </c>
      <c r="F179" s="5" t="s">
        <v>326</v>
      </c>
      <c r="G179" s="9">
        <v>6</v>
      </c>
      <c r="H179" s="5" t="s">
        <v>261</v>
      </c>
      <c r="I179" s="5" t="s">
        <v>262</v>
      </c>
    </row>
    <row r="180" ht="28.3" spans="1:9">
      <c r="A180" s="5" t="s">
        <v>327</v>
      </c>
      <c r="B180" s="6">
        <v>10</v>
      </c>
      <c r="C180" s="7">
        <v>7</v>
      </c>
      <c r="D180" s="7">
        <f t="shared" si="4"/>
        <v>-3</v>
      </c>
      <c r="E180" s="8">
        <f t="shared" si="5"/>
        <v>0</v>
      </c>
      <c r="F180" s="5" t="s">
        <v>299</v>
      </c>
      <c r="G180" s="9">
        <v>6</v>
      </c>
      <c r="H180" s="5" t="s">
        <v>261</v>
      </c>
      <c r="I180" s="5" t="s">
        <v>262</v>
      </c>
    </row>
    <row r="181" ht="28.3" spans="1:9">
      <c r="A181" s="5" t="s">
        <v>328</v>
      </c>
      <c r="B181" s="6">
        <v>6</v>
      </c>
      <c r="C181" s="7">
        <v>6</v>
      </c>
      <c r="D181" s="7">
        <f t="shared" si="4"/>
        <v>0</v>
      </c>
      <c r="E181" s="8">
        <f t="shared" si="5"/>
        <v>1</v>
      </c>
      <c r="F181" s="5" t="s">
        <v>36</v>
      </c>
      <c r="G181" s="9">
        <v>8</v>
      </c>
      <c r="H181" s="5" t="s">
        <v>261</v>
      </c>
      <c r="I181" s="5" t="s">
        <v>262</v>
      </c>
    </row>
    <row r="182" ht="28.3" spans="1:9">
      <c r="A182" s="5" t="s">
        <v>329</v>
      </c>
      <c r="B182" s="6">
        <v>7</v>
      </c>
      <c r="C182" s="7">
        <v>7</v>
      </c>
      <c r="D182" s="7">
        <f t="shared" si="4"/>
        <v>0</v>
      </c>
      <c r="E182" s="8">
        <f t="shared" si="5"/>
        <v>1</v>
      </c>
      <c r="F182" s="5" t="s">
        <v>226</v>
      </c>
      <c r="G182" s="9">
        <v>7</v>
      </c>
      <c r="H182" s="5" t="s">
        <v>261</v>
      </c>
      <c r="I182" s="5" t="s">
        <v>262</v>
      </c>
    </row>
    <row r="183" ht="28.3" spans="1:9">
      <c r="A183" s="5" t="s">
        <v>330</v>
      </c>
      <c r="B183" s="6">
        <v>10</v>
      </c>
      <c r="C183" s="7">
        <v>10</v>
      </c>
      <c r="D183" s="7">
        <f t="shared" si="4"/>
        <v>0</v>
      </c>
      <c r="E183" s="8">
        <f t="shared" si="5"/>
        <v>1</v>
      </c>
      <c r="F183" s="5" t="s">
        <v>331</v>
      </c>
      <c r="G183" s="9">
        <v>6</v>
      </c>
      <c r="H183" s="5" t="s">
        <v>261</v>
      </c>
      <c r="I183" s="5" t="s">
        <v>262</v>
      </c>
    </row>
    <row r="184" ht="28.3" spans="1:9">
      <c r="A184" s="5" t="s">
        <v>332</v>
      </c>
      <c r="B184" s="6">
        <v>8</v>
      </c>
      <c r="C184" s="7">
        <v>9</v>
      </c>
      <c r="D184" s="7">
        <f t="shared" si="4"/>
        <v>1</v>
      </c>
      <c r="E184" s="8">
        <f t="shared" si="5"/>
        <v>0</v>
      </c>
      <c r="F184" s="5" t="s">
        <v>291</v>
      </c>
      <c r="G184" s="9">
        <v>6</v>
      </c>
      <c r="H184" s="5" t="s">
        <v>261</v>
      </c>
      <c r="I184" s="5" t="s">
        <v>262</v>
      </c>
    </row>
    <row r="185" ht="28.3" spans="1:9">
      <c r="A185" s="5" t="s">
        <v>333</v>
      </c>
      <c r="B185" s="6">
        <v>10</v>
      </c>
      <c r="C185" s="7">
        <v>9</v>
      </c>
      <c r="D185" s="7">
        <f t="shared" si="4"/>
        <v>-1</v>
      </c>
      <c r="E185" s="8">
        <f t="shared" si="5"/>
        <v>0</v>
      </c>
      <c r="F185" s="5" t="s">
        <v>334</v>
      </c>
      <c r="G185" s="9">
        <v>6</v>
      </c>
      <c r="H185" s="5" t="s">
        <v>261</v>
      </c>
      <c r="I185" s="5" t="s">
        <v>262</v>
      </c>
    </row>
    <row r="186" ht="28.3" spans="1:9">
      <c r="A186" s="5" t="s">
        <v>335</v>
      </c>
      <c r="B186" s="6">
        <v>8</v>
      </c>
      <c r="C186" s="7">
        <v>9</v>
      </c>
      <c r="D186" s="7">
        <f t="shared" si="4"/>
        <v>1</v>
      </c>
      <c r="E186" s="8">
        <f t="shared" si="5"/>
        <v>0</v>
      </c>
      <c r="F186" s="5" t="s">
        <v>277</v>
      </c>
      <c r="G186" s="9">
        <v>6</v>
      </c>
      <c r="H186" s="5" t="s">
        <v>261</v>
      </c>
      <c r="I186" s="5" t="s">
        <v>262</v>
      </c>
    </row>
    <row r="187" ht="28.3" spans="1:9">
      <c r="A187" s="5" t="s">
        <v>336</v>
      </c>
      <c r="B187" s="6">
        <v>6</v>
      </c>
      <c r="C187" s="7">
        <v>7</v>
      </c>
      <c r="D187" s="7">
        <f t="shared" si="4"/>
        <v>1</v>
      </c>
      <c r="E187" s="8">
        <f t="shared" si="5"/>
        <v>0</v>
      </c>
      <c r="F187" s="5" t="s">
        <v>337</v>
      </c>
      <c r="G187" s="9">
        <v>8</v>
      </c>
      <c r="H187" s="5" t="s">
        <v>261</v>
      </c>
      <c r="I187" s="5" t="s">
        <v>262</v>
      </c>
    </row>
    <row r="188" ht="28.3" spans="1:9">
      <c r="A188" s="5" t="s">
        <v>338</v>
      </c>
      <c r="B188" s="6">
        <v>7</v>
      </c>
      <c r="C188" s="7">
        <v>5</v>
      </c>
      <c r="D188" s="7">
        <f t="shared" si="4"/>
        <v>-2</v>
      </c>
      <c r="E188" s="8">
        <f t="shared" si="5"/>
        <v>0</v>
      </c>
      <c r="F188" s="5" t="s">
        <v>39</v>
      </c>
      <c r="G188" s="9">
        <v>8</v>
      </c>
      <c r="H188" s="5" t="s">
        <v>261</v>
      </c>
      <c r="I188" s="5" t="s">
        <v>262</v>
      </c>
    </row>
    <row r="189" ht="28.3" spans="1:9">
      <c r="A189" s="5" t="s">
        <v>339</v>
      </c>
      <c r="B189" s="6">
        <v>8</v>
      </c>
      <c r="C189" s="7">
        <v>9</v>
      </c>
      <c r="D189" s="7">
        <f t="shared" si="4"/>
        <v>1</v>
      </c>
      <c r="E189" s="8">
        <f t="shared" si="5"/>
        <v>0</v>
      </c>
      <c r="F189" s="5" t="s">
        <v>291</v>
      </c>
      <c r="G189" s="9">
        <v>6</v>
      </c>
      <c r="H189" s="5" t="s">
        <v>261</v>
      </c>
      <c r="I189" s="5" t="s">
        <v>262</v>
      </c>
    </row>
    <row r="190" ht="28.3" spans="1:9">
      <c r="A190" s="5" t="s">
        <v>340</v>
      </c>
      <c r="B190" s="6">
        <v>9</v>
      </c>
      <c r="C190" s="7">
        <v>6</v>
      </c>
      <c r="D190" s="7">
        <f t="shared" si="4"/>
        <v>-3</v>
      </c>
      <c r="E190" s="8">
        <f t="shared" si="5"/>
        <v>0</v>
      </c>
      <c r="F190" s="5" t="s">
        <v>306</v>
      </c>
      <c r="G190" s="9">
        <v>6</v>
      </c>
      <c r="H190" s="5" t="s">
        <v>261</v>
      </c>
      <c r="I190" s="5" t="s">
        <v>262</v>
      </c>
    </row>
    <row r="191" ht="28.3" spans="1:9">
      <c r="A191" s="5" t="s">
        <v>341</v>
      </c>
      <c r="B191" s="6">
        <v>8</v>
      </c>
      <c r="C191" s="7">
        <v>7</v>
      </c>
      <c r="D191" s="7">
        <f t="shared" si="4"/>
        <v>-1</v>
      </c>
      <c r="E191" s="8">
        <f t="shared" si="5"/>
        <v>0</v>
      </c>
      <c r="F191" s="5" t="s">
        <v>226</v>
      </c>
      <c r="G191" s="9">
        <v>5</v>
      </c>
      <c r="H191" s="5" t="s">
        <v>261</v>
      </c>
      <c r="I191" s="5" t="s">
        <v>262</v>
      </c>
    </row>
    <row r="192" ht="28.3" spans="1:9">
      <c r="A192" s="5" t="s">
        <v>342</v>
      </c>
      <c r="B192" s="6">
        <v>6</v>
      </c>
      <c r="C192" s="7">
        <v>6</v>
      </c>
      <c r="D192" s="7">
        <f t="shared" si="4"/>
        <v>0</v>
      </c>
      <c r="E192" s="8">
        <f t="shared" si="5"/>
        <v>1</v>
      </c>
      <c r="F192" s="5" t="s">
        <v>36</v>
      </c>
      <c r="G192" s="9">
        <v>6</v>
      </c>
      <c r="H192" s="5" t="s">
        <v>261</v>
      </c>
      <c r="I192" s="5" t="s">
        <v>262</v>
      </c>
    </row>
    <row r="193" ht="28.3" spans="1:9">
      <c r="A193" s="5" t="s">
        <v>343</v>
      </c>
      <c r="B193" s="6">
        <v>6</v>
      </c>
      <c r="C193" s="7">
        <v>5</v>
      </c>
      <c r="D193" s="7">
        <f t="shared" si="4"/>
        <v>-1</v>
      </c>
      <c r="E193" s="8">
        <f t="shared" si="5"/>
        <v>0</v>
      </c>
      <c r="F193" s="5" t="s">
        <v>344</v>
      </c>
      <c r="G193" s="9">
        <v>6</v>
      </c>
      <c r="H193" s="5" t="s">
        <v>261</v>
      </c>
      <c r="I193" s="5" t="s">
        <v>262</v>
      </c>
    </row>
    <row r="194" ht="28.3" spans="1:9">
      <c r="A194" s="5" t="s">
        <v>345</v>
      </c>
      <c r="B194" s="6">
        <v>9</v>
      </c>
      <c r="C194" s="7">
        <v>6</v>
      </c>
      <c r="D194" s="7">
        <f t="shared" ref="D194:D201" si="6">IF(B194="","",C194-B194)</f>
        <v>-3</v>
      </c>
      <c r="E194" s="8">
        <f t="shared" ref="E194:E201" si="7">IF(B194="","",--(B194=C194))</f>
        <v>0</v>
      </c>
      <c r="F194" s="5" t="s">
        <v>306</v>
      </c>
      <c r="G194" s="9">
        <v>6</v>
      </c>
      <c r="H194" s="5" t="s">
        <v>261</v>
      </c>
      <c r="I194" s="5" t="s">
        <v>262</v>
      </c>
    </row>
    <row r="195" ht="28.3" spans="1:9">
      <c r="A195" s="5" t="s">
        <v>346</v>
      </c>
      <c r="B195" s="6">
        <v>9</v>
      </c>
      <c r="C195" s="7">
        <v>7</v>
      </c>
      <c r="D195" s="7">
        <f t="shared" si="6"/>
        <v>-2</v>
      </c>
      <c r="E195" s="8">
        <f t="shared" si="7"/>
        <v>0</v>
      </c>
      <c r="F195" s="5" t="s">
        <v>226</v>
      </c>
      <c r="G195" s="9">
        <v>6</v>
      </c>
      <c r="H195" s="5" t="s">
        <v>261</v>
      </c>
      <c r="I195" s="5" t="s">
        <v>262</v>
      </c>
    </row>
    <row r="196" ht="28.3" spans="1:9">
      <c r="A196" s="5" t="s">
        <v>347</v>
      </c>
      <c r="B196" s="6">
        <v>9</v>
      </c>
      <c r="C196" s="7">
        <v>7</v>
      </c>
      <c r="D196" s="7">
        <f t="shared" si="6"/>
        <v>-2</v>
      </c>
      <c r="E196" s="8">
        <f t="shared" si="7"/>
        <v>0</v>
      </c>
      <c r="F196" s="5" t="s">
        <v>348</v>
      </c>
      <c r="G196" s="9">
        <v>5</v>
      </c>
      <c r="H196" s="5" t="s">
        <v>261</v>
      </c>
      <c r="I196" s="5" t="s">
        <v>262</v>
      </c>
    </row>
    <row r="197" ht="28.3" spans="1:9">
      <c r="A197" s="5" t="s">
        <v>349</v>
      </c>
      <c r="B197" s="6">
        <v>8</v>
      </c>
      <c r="C197" s="7">
        <v>8</v>
      </c>
      <c r="D197" s="7">
        <f t="shared" si="6"/>
        <v>0</v>
      </c>
      <c r="E197" s="8">
        <f t="shared" si="7"/>
        <v>1</v>
      </c>
      <c r="F197" s="5" t="s">
        <v>160</v>
      </c>
      <c r="G197" s="9">
        <v>6</v>
      </c>
      <c r="H197" s="5" t="s">
        <v>261</v>
      </c>
      <c r="I197" s="5" t="s">
        <v>262</v>
      </c>
    </row>
    <row r="198" ht="28.3" spans="1:9">
      <c r="A198" s="5" t="s">
        <v>350</v>
      </c>
      <c r="B198" s="6">
        <v>7</v>
      </c>
      <c r="C198" s="7">
        <v>7</v>
      </c>
      <c r="D198" s="7">
        <f t="shared" si="6"/>
        <v>0</v>
      </c>
      <c r="E198" s="8">
        <f t="shared" si="7"/>
        <v>1</v>
      </c>
      <c r="F198" s="5" t="s">
        <v>226</v>
      </c>
      <c r="G198" s="9">
        <v>6</v>
      </c>
      <c r="H198" s="5" t="s">
        <v>261</v>
      </c>
      <c r="I198" s="5" t="s">
        <v>262</v>
      </c>
    </row>
    <row r="199" ht="28.3" spans="1:9">
      <c r="A199" s="5" t="s">
        <v>351</v>
      </c>
      <c r="B199" s="6">
        <v>7</v>
      </c>
      <c r="C199" s="7">
        <v>7</v>
      </c>
      <c r="D199" s="7">
        <f t="shared" si="6"/>
        <v>0</v>
      </c>
      <c r="E199" s="8">
        <f t="shared" si="7"/>
        <v>1</v>
      </c>
      <c r="F199" s="5" t="s">
        <v>348</v>
      </c>
      <c r="G199" s="9">
        <v>6</v>
      </c>
      <c r="H199" s="5" t="s">
        <v>261</v>
      </c>
      <c r="I199" s="5" t="s">
        <v>262</v>
      </c>
    </row>
    <row r="200" ht="28.3" spans="1:9">
      <c r="A200" s="5" t="s">
        <v>352</v>
      </c>
      <c r="B200" s="6">
        <v>6</v>
      </c>
      <c r="C200" s="7">
        <v>6</v>
      </c>
      <c r="D200" s="7">
        <f t="shared" si="6"/>
        <v>0</v>
      </c>
      <c r="E200" s="8">
        <f t="shared" si="7"/>
        <v>1</v>
      </c>
      <c r="F200" s="5" t="s">
        <v>36</v>
      </c>
      <c r="G200" s="9">
        <v>6</v>
      </c>
      <c r="H200" s="5" t="s">
        <v>261</v>
      </c>
      <c r="I200" s="5" t="s">
        <v>262</v>
      </c>
    </row>
    <row r="201" ht="29.05" spans="1:9">
      <c r="A201" s="5" t="s">
        <v>353</v>
      </c>
      <c r="B201" s="6">
        <v>6</v>
      </c>
      <c r="C201" s="7">
        <v>6</v>
      </c>
      <c r="D201" s="7">
        <f t="shared" si="6"/>
        <v>0</v>
      </c>
      <c r="E201" s="8">
        <f t="shared" si="7"/>
        <v>1</v>
      </c>
      <c r="F201" s="5" t="s">
        <v>22</v>
      </c>
      <c r="G201" s="9">
        <v>6</v>
      </c>
      <c r="H201" s="5" t="s">
        <v>261</v>
      </c>
      <c r="I201" s="5" t="s">
        <v>262</v>
      </c>
    </row>
    <row r="202" spans="1:9">
      <c r="A202" s="10" t="s">
        <v>354</v>
      </c>
      <c r="B202" s="11">
        <f>COUNT(B2:B201)</f>
        <v>200</v>
      </c>
      <c r="C202" s="10" t="s">
        <v>355</v>
      </c>
      <c r="D202" s="10"/>
      <c r="E202" s="12">
        <f>IFERROR(SUM(E2:E201)/COUNT(B2:B201),"")</f>
        <v>0.545</v>
      </c>
      <c r="F202" s="10"/>
      <c r="G202" s="10"/>
      <c r="H202" s="10"/>
      <c r="I202" s="10"/>
    </row>
  </sheetData>
  <autoFilter xmlns:etc="http://www.wps.cn/officeDocument/2017/etCustomData" ref="A1:I202" etc:filterBottomFollowUsedRange="0">
    <extLst/>
  </autoFilter>
  <conditionalFormatting sqref="D2:D201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Col="1"/>
  <cols>
    <col min="1" max="1" width="24" customWidth="1"/>
    <col min="2" max="2" width="115" customWidth="1"/>
  </cols>
  <sheetData>
    <row r="1" ht="19.25" spans="1:2">
      <c r="A1" s="1" t="s">
        <v>356</v>
      </c>
    </row>
    <row r="2" ht="23" customHeight="1" spans="1:2">
      <c r="A2" s="2" t="s">
        <v>357</v>
      </c>
      <c r="B2" s="3" t="s">
        <v>358</v>
      </c>
    </row>
    <row r="3" ht="23" customHeight="1" spans="1:2">
      <c r="A3" s="2" t="s">
        <v>359</v>
      </c>
      <c r="B3" s="3" t="s">
        <v>360</v>
      </c>
    </row>
    <row r="4" ht="23" customHeight="1" spans="1:2">
      <c r="A4" s="2" t="s">
        <v>361</v>
      </c>
      <c r="B4" s="3" t="s">
        <v>362</v>
      </c>
    </row>
    <row r="5" ht="23" customHeight="1" spans="1:2">
      <c r="A5" s="2" t="s">
        <v>363</v>
      </c>
      <c r="B5" s="3" t="s">
        <v>364</v>
      </c>
    </row>
    <row r="6" ht="23" customHeight="1" spans="1:2">
      <c r="A6" s="2" t="s">
        <v>365</v>
      </c>
      <c r="B6" s="3" t="s">
        <v>366</v>
      </c>
    </row>
    <row r="7" ht="23" customHeight="1" spans="1:2">
      <c r="A7" s="2" t="s">
        <v>367</v>
      </c>
      <c r="B7" s="3">
        <v>200</v>
      </c>
    </row>
    <row r="8" ht="23" customHeight="1" spans="1:2">
      <c r="A8" s="2" t="s">
        <v>368</v>
      </c>
      <c r="B8" s="3" t="s">
        <v>369</v>
      </c>
    </row>
    <row r="9" ht="32" customHeight="1" spans="1:2">
      <c r="A9" s="2" t="s">
        <v>370</v>
      </c>
      <c r="B9" s="3" t="s">
        <v>371</v>
      </c>
    </row>
    <row r="10" ht="32" customHeight="1" spans="1:2">
      <c r="A10" s="2" t="s">
        <v>372</v>
      </c>
      <c r="B10" s="3" t="s">
        <v>373</v>
      </c>
    </row>
    <row r="11" ht="32" customHeight="1" spans="1:2">
      <c r="A11" s="2" t="s">
        <v>374</v>
      </c>
      <c r="B11" s="3" t="s">
        <v>375</v>
      </c>
    </row>
    <row r="12" ht="32" customHeight="1" spans="1:2">
      <c r="A12" s="2" t="s">
        <v>376</v>
      </c>
      <c r="B12" s="3" t="s">
        <v>377</v>
      </c>
    </row>
    <row r="13" ht="32" customHeight="1" spans="1:2">
      <c r="A13" s="2" t="s">
        <v>378</v>
      </c>
      <c r="B13" s="3" t="s">
        <v>379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车辆检测汇总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四个二带俩王</cp:lastModifiedBy>
  <dcterms:created xsi:type="dcterms:W3CDTF">2026-10-27T09:12:00Z</dcterms:created>
  <dcterms:modified xsi:type="dcterms:W3CDTF">2026-10-27T13:48:04Z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CE7A9FBD2AA24E19A4ADD0F7C169F7E0_12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